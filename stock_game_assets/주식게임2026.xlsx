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r MYBOX\임시\[PPT]경제특강20026_최종\"/>
    </mc:Choice>
  </mc:AlternateContent>
  <xr:revisionPtr revIDLastSave="0" documentId="13_ncr:1_{D93AB041-7770-4796-9AA0-2D271D82A61E}" xr6:coauthVersionLast="47" xr6:coauthVersionMax="47" xr10:uidLastSave="{00000000-0000-0000-0000-000000000000}"/>
  <workbookProtection workbookAlgorithmName="SHA-512" workbookHashValue="2eV3Ow0vRb4xpVfjldcOKXAwoDUAxlrVm/5KEOD0VyJsnqIJt5N+ucfjqs5f7jU8XL/JWlnU3+dahpH7ENPi/A==" workbookSaltValue="l3Uon0vdjYKljVAJPOrueA==" workbookSpinCount="100000" lockStructure="1"/>
  <bookViews>
    <workbookView xWindow="28680" yWindow="-120" windowWidth="29040" windowHeight="15720" xr2:uid="{00000000-000D-0000-FFFF-FFFF00000000}"/>
  </bookViews>
  <sheets>
    <sheet name="주식게임" sheetId="3" r:id="rId1"/>
    <sheet name="종목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2" i="3" l="1"/>
  <c r="G22" i="3"/>
  <c r="K22" i="3"/>
  <c r="C42" i="3"/>
  <c r="K32" i="3"/>
  <c r="G32" i="3"/>
  <c r="C32" i="3"/>
  <c r="K12" i="3"/>
  <c r="G12" i="3"/>
  <c r="C12" i="3"/>
  <c r="O21" i="4"/>
  <c r="E4" i="4"/>
  <c r="E5" i="4"/>
  <c r="E6" i="4"/>
  <c r="E7" i="4"/>
  <c r="E8" i="4"/>
  <c r="E9" i="4"/>
  <c r="E10" i="4"/>
  <c r="E11" i="4"/>
  <c r="E12" i="4"/>
  <c r="E13" i="4"/>
  <c r="J4" i="4"/>
  <c r="J5" i="4"/>
  <c r="J6" i="4"/>
  <c r="J7" i="4"/>
  <c r="J8" i="4"/>
  <c r="J9" i="4"/>
  <c r="J10" i="4"/>
  <c r="J11" i="4"/>
  <c r="J12" i="4"/>
  <c r="J13" i="4"/>
  <c r="F8" i="3" a="1"/>
  <c r="L9" i="3" a="1"/>
  <c r="J5" i="3" a="1"/>
  <c r="D4" i="3" a="1"/>
  <c r="I9" i="3" a="1"/>
  <c r="L10" i="3" a="1"/>
  <c r="D7" i="3" a="1"/>
  <c r="K7" i="3" a="1"/>
  <c r="C6" i="3" a="1"/>
  <c r="E10" i="3" a="1"/>
  <c r="J6" i="3" a="1"/>
  <c r="C5" i="3" a="1"/>
  <c r="K9" i="3" a="1"/>
  <c r="D3" i="3" a="1"/>
  <c r="C9" i="3" a="1"/>
  <c r="I3" i="3" a="1"/>
  <c r="J3" i="3" a="1"/>
  <c r="I7" i="3" a="1"/>
  <c r="G8" i="3" a="1"/>
  <c r="G9" i="3" a="1"/>
  <c r="F9" i="3" a="1"/>
  <c r="H8" i="3" a="1"/>
  <c r="E7" i="3" a="1"/>
  <c r="G6" i="3" a="1"/>
  <c r="G5" i="3" a="1"/>
  <c r="E5" i="3" a="1"/>
  <c r="E8" i="3" a="1"/>
  <c r="D5" i="3" a="1"/>
  <c r="D10" i="3" a="1"/>
  <c r="H5" i="3" a="1"/>
  <c r="F4" i="3" a="1"/>
  <c r="G10" i="3" a="1"/>
  <c r="E9" i="3" a="1"/>
  <c r="I4" i="3" a="1"/>
  <c r="H10" i="3" a="1"/>
  <c r="L5" i="3" a="1"/>
  <c r="C7" i="3" a="1"/>
  <c r="C10" i="3" a="1"/>
  <c r="C8" i="3" a="1"/>
  <c r="H9" i="3" a="1"/>
  <c r="C3" i="3" a="1"/>
  <c r="K10" i="3" a="1"/>
  <c r="J8" i="3" a="1"/>
  <c r="D9" i="3" a="1"/>
  <c r="J4" i="3" a="1"/>
  <c r="H6" i="3" a="1"/>
  <c r="L7" i="3" a="1"/>
  <c r="I6" i="3" a="1"/>
  <c r="K5" i="3" a="1"/>
  <c r="H4" i="3" a="1"/>
  <c r="K4" i="3" a="1"/>
  <c r="E4" i="3" a="1"/>
  <c r="K3" i="3" a="1"/>
  <c r="F6" i="3" a="1"/>
  <c r="F7" i="3" a="1"/>
  <c r="K8" i="3" a="1"/>
  <c r="D8" i="3" a="1"/>
  <c r="G4" i="3" a="1"/>
  <c r="E3" i="3" a="1"/>
  <c r="G3" i="3" a="1"/>
  <c r="J7" i="3" a="1"/>
  <c r="F5" i="3" a="1"/>
  <c r="L8" i="3" a="1"/>
  <c r="L3" i="3" a="1"/>
  <c r="I8" i="3" a="1"/>
  <c r="I10" i="3" a="1"/>
  <c r="H7" i="3" a="1"/>
  <c r="I5" i="3" a="1"/>
  <c r="F3" i="3" a="1"/>
  <c r="E6" i="3" a="1"/>
  <c r="F10" i="3" a="1"/>
  <c r="L6" i="3" a="1"/>
  <c r="J9" i="3" a="1"/>
  <c r="G7" i="3" a="1"/>
  <c r="K6" i="3" a="1"/>
  <c r="D6" i="3" a="1"/>
  <c r="C4" i="3" a="1"/>
  <c r="H3" i="3" a="1"/>
  <c r="J10" i="3" a="1"/>
  <c r="L4" i="3" a="1"/>
  <c r="L3" i="3" l="1"/>
  <c r="K3" i="3"/>
  <c r="J3" i="3"/>
  <c r="I3" i="3"/>
  <c r="H3" i="3"/>
  <c r="G3" i="3"/>
  <c r="F3" i="3"/>
  <c r="E3" i="3"/>
  <c r="D3" i="3"/>
  <c r="C3" i="3"/>
  <c r="C13" i="3" s="1"/>
  <c r="I8" i="3"/>
  <c r="I4" i="3"/>
  <c r="K5" i="3"/>
  <c r="D5" i="3"/>
  <c r="E10" i="3"/>
  <c r="E5" i="3"/>
  <c r="F4" i="3"/>
  <c r="K9" i="3"/>
  <c r="D7" i="3"/>
  <c r="I7" i="3"/>
  <c r="C4" i="3"/>
  <c r="C14" i="3" s="1"/>
  <c r="F6" i="3"/>
  <c r="H7" i="3"/>
  <c r="C7" i="3"/>
  <c r="C17" i="3" s="1"/>
  <c r="L4" i="3"/>
  <c r="H4" i="3"/>
  <c r="F9" i="3"/>
  <c r="D8" i="3"/>
  <c r="K8" i="3"/>
  <c r="H5" i="3"/>
  <c r="J5" i="3"/>
  <c r="F5" i="3"/>
  <c r="L8" i="3"/>
  <c r="L9" i="3"/>
  <c r="G9" i="3"/>
  <c r="D6" i="3"/>
  <c r="L6" i="3"/>
  <c r="J8" i="3"/>
  <c r="J6" i="3"/>
  <c r="E8" i="3"/>
  <c r="J10" i="3"/>
  <c r="D9" i="3"/>
  <c r="C6" i="3"/>
  <c r="C16" i="3" s="1"/>
  <c r="G4" i="3"/>
  <c r="H6" i="3"/>
  <c r="E7" i="3"/>
  <c r="F8" i="3"/>
  <c r="K6" i="3"/>
  <c r="K4" i="3"/>
  <c r="K7" i="3"/>
  <c r="I5" i="3"/>
  <c r="H9" i="3"/>
  <c r="F7" i="3"/>
  <c r="C10" i="3"/>
  <c r="C20" i="3" s="1"/>
  <c r="E4" i="3"/>
  <c r="E9" i="3"/>
  <c r="J9" i="3"/>
  <c r="I6" i="3"/>
  <c r="C5" i="3"/>
  <c r="C15" i="3" s="1"/>
  <c r="C8" i="3"/>
  <c r="C18" i="3" s="1"/>
  <c r="D18" i="3" s="1"/>
  <c r="K10" i="3"/>
  <c r="G8" i="3"/>
  <c r="E6" i="3"/>
  <c r="G5" i="3"/>
  <c r="G6" i="3"/>
  <c r="L7" i="3"/>
  <c r="H8" i="3"/>
  <c r="D4" i="3"/>
  <c r="I10" i="3"/>
  <c r="L5" i="3"/>
  <c r="J4" i="3"/>
  <c r="J7" i="3"/>
  <c r="F10" i="3"/>
  <c r="D10" i="3"/>
  <c r="L10" i="3"/>
  <c r="G10" i="3"/>
  <c r="H10" i="3"/>
  <c r="C9" i="3"/>
  <c r="C19" i="3" s="1"/>
  <c r="D19" i="3" s="1"/>
  <c r="G7" i="3"/>
  <c r="I9" i="3"/>
  <c r="E52" i="4"/>
  <c r="E51" i="4"/>
  <c r="E50" i="4"/>
  <c r="E49" i="4"/>
  <c r="E48" i="4"/>
  <c r="E47" i="4"/>
  <c r="E46" i="4"/>
  <c r="E45" i="4"/>
  <c r="E44" i="4"/>
  <c r="E43" i="4"/>
  <c r="O39" i="4"/>
  <c r="J39" i="4"/>
  <c r="E39" i="4"/>
  <c r="O38" i="4"/>
  <c r="J38" i="4"/>
  <c r="E38" i="4"/>
  <c r="O37" i="4"/>
  <c r="J37" i="4"/>
  <c r="E37" i="4"/>
  <c r="O36" i="4"/>
  <c r="J36" i="4"/>
  <c r="E36" i="4"/>
  <c r="O35" i="4"/>
  <c r="J35" i="4"/>
  <c r="E35" i="4"/>
  <c r="O34" i="4"/>
  <c r="J34" i="4"/>
  <c r="E34" i="4"/>
  <c r="O33" i="4"/>
  <c r="J33" i="4"/>
  <c r="E33" i="4"/>
  <c r="O32" i="4"/>
  <c r="J32" i="4"/>
  <c r="E32" i="4"/>
  <c r="O31" i="4"/>
  <c r="J31" i="4"/>
  <c r="E31" i="4"/>
  <c r="O30" i="4"/>
  <c r="J30" i="4"/>
  <c r="E30" i="4"/>
  <c r="O26" i="4"/>
  <c r="J26" i="4"/>
  <c r="E26" i="4"/>
  <c r="O25" i="4"/>
  <c r="J25" i="4"/>
  <c r="E25" i="4"/>
  <c r="O24" i="4"/>
  <c r="J24" i="4"/>
  <c r="E24" i="4"/>
  <c r="O23" i="4"/>
  <c r="J23" i="4"/>
  <c r="E23" i="4"/>
  <c r="O22" i="4"/>
  <c r="J22" i="4"/>
  <c r="E22" i="4"/>
  <c r="J21" i="4"/>
  <c r="E21" i="4"/>
  <c r="O20" i="4"/>
  <c r="J20" i="4"/>
  <c r="E20" i="4"/>
  <c r="O19" i="4"/>
  <c r="J19" i="4"/>
  <c r="E19" i="4"/>
  <c r="O18" i="4"/>
  <c r="J18" i="4"/>
  <c r="E18" i="4"/>
  <c r="O17" i="4"/>
  <c r="J17" i="4"/>
  <c r="E17" i="4"/>
  <c r="O13" i="4"/>
  <c r="AC12" i="4" a="1"/>
  <c r="AC12" i="4" s="1"/>
  <c r="AB12" i="4" a="1"/>
  <c r="AB12" i="4" s="1"/>
  <c r="AA12" i="4" a="1"/>
  <c r="AA12" i="4" s="1"/>
  <c r="Z12" i="4" a="1"/>
  <c r="Z12" i="4" s="1"/>
  <c r="Y12" i="4" a="1"/>
  <c r="Y12" i="4" s="1"/>
  <c r="X12" i="4" a="1"/>
  <c r="X12" i="4" s="1"/>
  <c r="W12" i="4" a="1"/>
  <c r="W12" i="4" s="1"/>
  <c r="V12" i="4" a="1"/>
  <c r="V12" i="4" s="1"/>
  <c r="U12" i="4" a="1"/>
  <c r="U12" i="4" s="1"/>
  <c r="T12" i="4" a="1"/>
  <c r="T12" i="4" s="1"/>
  <c r="S12" i="4" a="1"/>
  <c r="S12" i="4" s="1"/>
  <c r="R12" i="4"/>
  <c r="Q12" i="4"/>
  <c r="O12" i="4"/>
  <c r="AC11" i="4" a="1"/>
  <c r="AC11" i="4" s="1"/>
  <c r="AB11" i="4" a="1"/>
  <c r="AB11" i="4" s="1"/>
  <c r="AA11" i="4" a="1"/>
  <c r="AA11" i="4" s="1"/>
  <c r="Z11" i="4" a="1"/>
  <c r="Z11" i="4" s="1"/>
  <c r="Y11" i="4" a="1"/>
  <c r="Y11" i="4" s="1"/>
  <c r="X11" i="4" a="1"/>
  <c r="X11" i="4" s="1"/>
  <c r="W11" i="4" a="1"/>
  <c r="W11" i="4" s="1"/>
  <c r="V11" i="4" a="1"/>
  <c r="V11" i="4" s="1"/>
  <c r="U11" i="4" a="1"/>
  <c r="U11" i="4" s="1"/>
  <c r="T11" i="4" a="1"/>
  <c r="T11" i="4" s="1"/>
  <c r="S11" i="4" a="1"/>
  <c r="S11" i="4" s="1"/>
  <c r="R11" i="4"/>
  <c r="Q11" i="4"/>
  <c r="O11" i="4"/>
  <c r="AC10" i="4" a="1"/>
  <c r="AC10" i="4" s="1"/>
  <c r="AB10" i="4" a="1"/>
  <c r="AB10" i="4" s="1"/>
  <c r="AA10" i="4" a="1"/>
  <c r="AA10" i="4" s="1"/>
  <c r="Z10" i="4" a="1"/>
  <c r="Z10" i="4" s="1"/>
  <c r="Y10" i="4" a="1"/>
  <c r="Y10" i="4" s="1"/>
  <c r="X10" i="4" a="1"/>
  <c r="X10" i="4" s="1"/>
  <c r="W10" i="4" a="1"/>
  <c r="W10" i="4" s="1"/>
  <c r="V10" i="4" a="1"/>
  <c r="V10" i="4" s="1"/>
  <c r="U10" i="4" a="1"/>
  <c r="U10" i="4" s="1"/>
  <c r="T10" i="4" a="1"/>
  <c r="T10" i="4" s="1"/>
  <c r="S10" i="4" a="1"/>
  <c r="S10" i="4" s="1"/>
  <c r="R10" i="4"/>
  <c r="Q10" i="4"/>
  <c r="O10" i="4"/>
  <c r="AC9" i="4" a="1"/>
  <c r="AC9" i="4" s="1"/>
  <c r="AB9" i="4" a="1"/>
  <c r="AB9" i="4" s="1"/>
  <c r="AA9" i="4" a="1"/>
  <c r="AA9" i="4" s="1"/>
  <c r="Z9" i="4" a="1"/>
  <c r="Z9" i="4" s="1"/>
  <c r="Y9" i="4" a="1"/>
  <c r="Y9" i="4" s="1"/>
  <c r="X9" i="4" a="1"/>
  <c r="X9" i="4" s="1"/>
  <c r="W9" i="4" a="1"/>
  <c r="W9" i="4" s="1"/>
  <c r="V9" i="4" a="1"/>
  <c r="V9" i="4" s="1"/>
  <c r="U9" i="4" a="1"/>
  <c r="U9" i="4" s="1"/>
  <c r="T9" i="4" a="1"/>
  <c r="T9" i="4" s="1"/>
  <c r="S9" i="4" a="1"/>
  <c r="S9" i="4" s="1"/>
  <c r="R9" i="4"/>
  <c r="Q9" i="4"/>
  <c r="O9" i="4"/>
  <c r="AC8" i="4" a="1"/>
  <c r="AC8" i="4" s="1"/>
  <c r="AB8" i="4" a="1"/>
  <c r="AB8" i="4" s="1"/>
  <c r="AA8" i="4" a="1"/>
  <c r="AA8" i="4" s="1"/>
  <c r="Z8" i="4" a="1"/>
  <c r="Z8" i="4" s="1"/>
  <c r="Y8" i="4" a="1"/>
  <c r="Y8" i="4" s="1"/>
  <c r="X8" i="4" a="1"/>
  <c r="X8" i="4" s="1"/>
  <c r="W8" i="4" a="1"/>
  <c r="W8" i="4" s="1"/>
  <c r="V8" i="4" a="1"/>
  <c r="V8" i="4" s="1"/>
  <c r="U8" i="4" a="1"/>
  <c r="U8" i="4" s="1"/>
  <c r="T8" i="4" a="1"/>
  <c r="T8" i="4" s="1"/>
  <c r="S8" i="4" a="1"/>
  <c r="S8" i="4" s="1"/>
  <c r="R8" i="4"/>
  <c r="Q8" i="4"/>
  <c r="O8" i="4"/>
  <c r="AC7" i="4" a="1"/>
  <c r="AC7" i="4" s="1"/>
  <c r="AB7" i="4" a="1"/>
  <c r="AB7" i="4" s="1"/>
  <c r="AA7" i="4" a="1"/>
  <c r="AA7" i="4" s="1"/>
  <c r="Z7" i="4" a="1"/>
  <c r="Z7" i="4" s="1"/>
  <c r="Y7" i="4" a="1"/>
  <c r="Y7" i="4" s="1"/>
  <c r="X7" i="4" a="1"/>
  <c r="X7" i="4" s="1"/>
  <c r="W7" i="4" a="1"/>
  <c r="W7" i="4" s="1"/>
  <c r="V7" i="4" a="1"/>
  <c r="V7" i="4" s="1"/>
  <c r="U7" i="4" a="1"/>
  <c r="U7" i="4" s="1"/>
  <c r="T7" i="4" a="1"/>
  <c r="T7" i="4" s="1"/>
  <c r="S7" i="4" a="1"/>
  <c r="S7" i="4" s="1"/>
  <c r="R7" i="4"/>
  <c r="Q7" i="4"/>
  <c r="O7" i="4"/>
  <c r="AC6" i="4" a="1"/>
  <c r="AC6" i="4" s="1"/>
  <c r="AB6" i="4" a="1"/>
  <c r="AB6" i="4" s="1"/>
  <c r="AA6" i="4" a="1"/>
  <c r="AA6" i="4" s="1"/>
  <c r="Z6" i="4" a="1"/>
  <c r="Z6" i="4" s="1"/>
  <c r="Y6" i="4" a="1"/>
  <c r="Y6" i="4" s="1"/>
  <c r="X6" i="4" a="1"/>
  <c r="X6" i="4" s="1"/>
  <c r="W6" i="4" a="1"/>
  <c r="W6" i="4" s="1"/>
  <c r="V6" i="4" a="1"/>
  <c r="V6" i="4" s="1"/>
  <c r="U6" i="4" a="1"/>
  <c r="U6" i="4" s="1"/>
  <c r="T6" i="4" a="1"/>
  <c r="T6" i="4" s="1"/>
  <c r="S6" i="4" a="1"/>
  <c r="S6" i="4" s="1"/>
  <c r="R6" i="4"/>
  <c r="Q6" i="4"/>
  <c r="O6" i="4"/>
  <c r="AC5" i="4" a="1"/>
  <c r="AC5" i="4" s="1"/>
  <c r="AB5" i="4" a="1"/>
  <c r="AB5" i="4" s="1"/>
  <c r="AA5" i="4" a="1"/>
  <c r="AA5" i="4" s="1"/>
  <c r="Z5" i="4" a="1"/>
  <c r="Z5" i="4" s="1"/>
  <c r="Y5" i="4" a="1"/>
  <c r="Y5" i="4" s="1"/>
  <c r="X5" i="4" a="1"/>
  <c r="X5" i="4" s="1"/>
  <c r="W5" i="4" a="1"/>
  <c r="W5" i="4" s="1"/>
  <c r="V5" i="4" a="1"/>
  <c r="V5" i="4" s="1"/>
  <c r="U5" i="4" a="1"/>
  <c r="U5" i="4" s="1"/>
  <c r="T5" i="4" a="1"/>
  <c r="T5" i="4" s="1"/>
  <c r="S5" i="4" a="1"/>
  <c r="S5" i="4" s="1"/>
  <c r="R5" i="4"/>
  <c r="Q5" i="4"/>
  <c r="O5" i="4"/>
  <c r="AC4" i="4" a="1"/>
  <c r="AC4" i="4" s="1"/>
  <c r="AB4" i="4" a="1"/>
  <c r="AB4" i="4" s="1"/>
  <c r="AA4" i="4" a="1"/>
  <c r="AA4" i="4" s="1"/>
  <c r="Z4" i="4" a="1"/>
  <c r="Z4" i="4" s="1"/>
  <c r="Y4" i="4" a="1"/>
  <c r="Y4" i="4" s="1"/>
  <c r="X4" i="4" a="1"/>
  <c r="X4" i="4" s="1"/>
  <c r="W4" i="4" a="1"/>
  <c r="W4" i="4" s="1"/>
  <c r="V4" i="4" a="1"/>
  <c r="V4" i="4" s="1"/>
  <c r="U4" i="4" a="1"/>
  <c r="U4" i="4" s="1"/>
  <c r="T4" i="4" a="1"/>
  <c r="T4" i="4" s="1"/>
  <c r="S4" i="4" a="1"/>
  <c r="S4" i="4" s="1"/>
  <c r="R4" i="4"/>
  <c r="Q4" i="4"/>
  <c r="O4" i="4"/>
  <c r="AC3" i="4" a="1"/>
  <c r="AC3" i="4" s="1"/>
  <c r="AB3" i="4" a="1"/>
  <c r="AB3" i="4" s="1"/>
  <c r="AA3" i="4" a="1"/>
  <c r="AA3" i="4" s="1"/>
  <c r="Z3" i="4" a="1"/>
  <c r="Z3" i="4" s="1"/>
  <c r="Y3" i="4" a="1"/>
  <c r="Y3" i="4" s="1"/>
  <c r="X3" i="4" a="1"/>
  <c r="X3" i="4" s="1"/>
  <c r="W3" i="4" a="1"/>
  <c r="W3" i="4" s="1"/>
  <c r="V3" i="4" a="1"/>
  <c r="V3" i="4" s="1"/>
  <c r="U3" i="4" a="1"/>
  <c r="U3" i="4" s="1"/>
  <c r="T3" i="4" a="1"/>
  <c r="T3" i="4" s="1"/>
  <c r="S3" i="4" a="1"/>
  <c r="S3" i="4" s="1"/>
  <c r="R3" i="4"/>
  <c r="Q3" i="4"/>
  <c r="D20" i="3" l="1"/>
  <c r="D17" i="3"/>
  <c r="D16" i="3"/>
  <c r="D15" i="3"/>
  <c r="D13" i="3"/>
  <c r="D14" i="3"/>
  <c r="G14" i="3"/>
  <c r="G18" i="3"/>
  <c r="G15" i="3"/>
  <c r="G17" i="3"/>
  <c r="G19" i="3"/>
  <c r="G20" i="3"/>
  <c r="G16" i="3"/>
  <c r="K20" i="3" l="1"/>
  <c r="K16" i="3"/>
  <c r="K19" i="3"/>
  <c r="K15" i="3"/>
  <c r="K18" i="3"/>
  <c r="K14" i="3"/>
  <c r="K17" i="3"/>
  <c r="C27" i="3" l="1"/>
  <c r="C26" i="3"/>
  <c r="C24" i="3"/>
  <c r="C29" i="3"/>
  <c r="C25" i="3"/>
  <c r="C30" i="3"/>
  <c r="C28" i="3"/>
  <c r="G26" i="3" l="1"/>
  <c r="G30" i="3"/>
  <c r="G27" i="3"/>
  <c r="G29" i="3"/>
  <c r="G28" i="3"/>
  <c r="G24" i="3"/>
  <c r="G25" i="3"/>
  <c r="K30" i="3"/>
  <c r="K28" i="3"/>
  <c r="K27" i="3"/>
  <c r="K29" i="3"/>
  <c r="K25" i="3"/>
  <c r="K24" i="3"/>
  <c r="K26" i="3"/>
  <c r="G13" i="3"/>
  <c r="C40" i="3" l="1"/>
  <c r="C34" i="3"/>
  <c r="C38" i="3"/>
  <c r="C35" i="3"/>
  <c r="C37" i="3"/>
  <c r="C39" i="3"/>
  <c r="C36" i="3"/>
  <c r="H19" i="3"/>
  <c r="H16" i="3"/>
  <c r="H15" i="3"/>
  <c r="H14" i="3"/>
  <c r="H18" i="3"/>
  <c r="H17" i="3"/>
  <c r="H13" i="3"/>
  <c r="H20" i="3"/>
  <c r="K13" i="3"/>
  <c r="G40" i="3" l="1"/>
  <c r="G34" i="3"/>
  <c r="G36" i="3"/>
  <c r="G37" i="3"/>
  <c r="G35" i="3"/>
  <c r="G38" i="3"/>
  <c r="G39" i="3"/>
  <c r="L19" i="3"/>
  <c r="L16" i="3"/>
  <c r="L15" i="3"/>
  <c r="L14" i="3"/>
  <c r="L18" i="3"/>
  <c r="L17" i="3"/>
  <c r="L13" i="3"/>
  <c r="L20" i="3"/>
  <c r="K40" i="3" l="1"/>
  <c r="K39" i="3"/>
  <c r="K35" i="3"/>
  <c r="K34" i="3"/>
  <c r="K37" i="3"/>
  <c r="K36" i="3"/>
  <c r="K38" i="3"/>
  <c r="C23" i="3"/>
  <c r="C45" i="3" l="1"/>
  <c r="C48" i="3"/>
  <c r="C46" i="3"/>
  <c r="C44" i="3"/>
  <c r="C49" i="3"/>
  <c r="C47" i="3"/>
  <c r="C50" i="3"/>
  <c r="G23" i="3" l="1"/>
  <c r="H26" i="3" s="1"/>
  <c r="H29" i="3"/>
  <c r="H25" i="3"/>
  <c r="H30" i="3"/>
  <c r="H28" i="3"/>
  <c r="H23" i="3" l="1"/>
  <c r="H27" i="3"/>
  <c r="H24" i="3"/>
  <c r="D24" i="3"/>
  <c r="D27" i="3"/>
  <c r="D30" i="3"/>
  <c r="D28" i="3"/>
  <c r="D23" i="3"/>
  <c r="D29" i="3"/>
  <c r="D26" i="3"/>
  <c r="D25" i="3"/>
  <c r="K23" i="3" l="1"/>
  <c r="L26" i="3" s="1"/>
  <c r="L24" i="3" l="1"/>
  <c r="L29" i="3"/>
  <c r="L27" i="3"/>
  <c r="L25" i="3"/>
  <c r="L30" i="3"/>
  <c r="L28" i="3"/>
  <c r="L23" i="3"/>
  <c r="C33" i="3" l="1"/>
  <c r="D39" i="3" l="1"/>
  <c r="D36" i="3"/>
  <c r="D35" i="3"/>
  <c r="D34" i="3"/>
  <c r="D38" i="3"/>
  <c r="D37" i="3"/>
  <c r="D33" i="3"/>
  <c r="D40" i="3"/>
  <c r="G33" i="3" l="1"/>
  <c r="H39" i="3" l="1"/>
  <c r="H36" i="3"/>
  <c r="H35" i="3"/>
  <c r="H34" i="3"/>
  <c r="H38" i="3"/>
  <c r="H37" i="3"/>
  <c r="H33" i="3"/>
  <c r="H40" i="3"/>
  <c r="K33" i="3" l="1"/>
  <c r="L39" i="3" l="1"/>
  <c r="L36" i="3"/>
  <c r="L35" i="3"/>
  <c r="L34" i="3"/>
  <c r="L38" i="3"/>
  <c r="L37" i="3"/>
  <c r="L33" i="3"/>
  <c r="L40" i="3"/>
  <c r="C43" i="3"/>
  <c r="D49" i="3" l="1"/>
  <c r="D46" i="3"/>
  <c r="D45" i="3"/>
  <c r="D44" i="3"/>
  <c r="D48" i="3"/>
  <c r="D47" i="3"/>
  <c r="D43" i="3"/>
  <c r="D5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<sst xmlns="http://schemas.openxmlformats.org/spreadsheetml/2006/main" count="260" uniqueCount="48">
  <si>
    <t>조별</t>
    <phoneticPr fontId="1" type="noConversion"/>
  </si>
  <si>
    <t>1조</t>
    <phoneticPr fontId="1" type="noConversion"/>
  </si>
  <si>
    <t>2조</t>
    <phoneticPr fontId="1" type="noConversion"/>
  </si>
  <si>
    <t>3조</t>
  </si>
  <si>
    <t>4조</t>
  </si>
  <si>
    <t>5조</t>
  </si>
  <si>
    <t>6조</t>
  </si>
  <si>
    <t>순위</t>
    <phoneticPr fontId="1" type="noConversion"/>
  </si>
  <si>
    <t>조별</t>
    <phoneticPr fontId="1" type="noConversion"/>
  </si>
  <si>
    <t>7조</t>
  </si>
  <si>
    <t>7조</t>
    <phoneticPr fontId="1" type="noConversion"/>
  </si>
  <si>
    <t>8조</t>
  </si>
  <si>
    <t>8조</t>
    <phoneticPr fontId="1" type="noConversion"/>
  </si>
  <si>
    <t>A 엔터</t>
    <phoneticPr fontId="1" type="noConversion"/>
  </si>
  <si>
    <t>에스엠</t>
    <phoneticPr fontId="1" type="noConversion"/>
  </si>
  <si>
    <t>B 여행</t>
    <phoneticPr fontId="1" type="noConversion"/>
  </si>
  <si>
    <t>하나투어</t>
    <phoneticPr fontId="1" type="noConversion"/>
  </si>
  <si>
    <t>C IT</t>
    <phoneticPr fontId="1" type="noConversion"/>
  </si>
  <si>
    <t>LG전자</t>
    <phoneticPr fontId="1" type="noConversion"/>
  </si>
  <si>
    <t>종목</t>
  </si>
  <si>
    <t>11월</t>
    <phoneticPr fontId="1" type="noConversion"/>
  </si>
  <si>
    <t>6월</t>
    <phoneticPr fontId="1" type="noConversion"/>
  </si>
  <si>
    <t>12월</t>
    <phoneticPr fontId="1" type="noConversion"/>
  </si>
  <si>
    <t>7월</t>
    <phoneticPr fontId="1" type="noConversion"/>
  </si>
  <si>
    <t>8월</t>
    <phoneticPr fontId="1" type="noConversion"/>
  </si>
  <si>
    <t>10월</t>
    <phoneticPr fontId="1" type="noConversion"/>
  </si>
  <si>
    <t>1월</t>
    <phoneticPr fontId="1" type="noConversion"/>
  </si>
  <si>
    <t>3월</t>
    <phoneticPr fontId="1" type="noConversion"/>
  </si>
  <si>
    <t>4월</t>
    <phoneticPr fontId="1" type="noConversion"/>
  </si>
  <si>
    <t>9월</t>
    <phoneticPr fontId="1" type="noConversion"/>
  </si>
  <si>
    <t>D 바이오</t>
    <phoneticPr fontId="1" type="noConversion"/>
  </si>
  <si>
    <t>E 자동차</t>
    <phoneticPr fontId="1" type="noConversion"/>
  </si>
  <si>
    <t>현대차</t>
    <phoneticPr fontId="1" type="noConversion"/>
  </si>
  <si>
    <t>F 통신</t>
    <phoneticPr fontId="1" type="noConversion"/>
  </si>
  <si>
    <t>SK텔레콤</t>
    <phoneticPr fontId="1" type="noConversion"/>
  </si>
  <si>
    <t>2월</t>
    <phoneticPr fontId="1" type="noConversion"/>
  </si>
  <si>
    <t>5월</t>
    <phoneticPr fontId="1" type="noConversion"/>
  </si>
  <si>
    <t>G 조선</t>
    <phoneticPr fontId="1" type="noConversion"/>
  </si>
  <si>
    <t>한국조선해양</t>
    <phoneticPr fontId="1" type="noConversion"/>
  </si>
  <si>
    <t>H 뷰티</t>
    <phoneticPr fontId="1" type="noConversion"/>
  </si>
  <si>
    <t>LG생활건강</t>
    <phoneticPr fontId="1" type="noConversion"/>
  </si>
  <si>
    <t>I 화학</t>
    <phoneticPr fontId="1" type="noConversion"/>
  </si>
  <si>
    <t>롯데케미칼</t>
    <phoneticPr fontId="1" type="noConversion"/>
  </si>
  <si>
    <t>J 식품</t>
    <phoneticPr fontId="1" type="noConversion"/>
  </si>
  <si>
    <t>KT&amp;G</t>
    <phoneticPr fontId="1" type="noConversion"/>
  </si>
  <si>
    <t>주가</t>
  </si>
  <si>
    <t>수익률</t>
  </si>
  <si>
    <t>셀트리온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</si>
</sst>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Red]\▲0%;[Blue]\▼0%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color rgb="FF9C0006"/>
      <name val="맑은 고딕"/>
      <family val="3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페이퍼로지 4 Regular"/>
      <family val="3"/>
      <charset val="129"/>
    </font>
    <font>
      <sz val="10"/>
      <color theme="0"/>
      <name val="페이퍼로지 4 Regular"/>
      <family val="3"/>
      <charset val="129"/>
    </font>
    <font>
      <sz val="10"/>
      <name val="페이퍼로지 4 Regular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4623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6" fillId="3" borderId="1" xfId="3" applyFont="1" applyBorder="1" applyAlignment="1">
      <alignment horizontal="center" vertical="center"/>
    </xf>
    <xf numFmtId="0" fontId="7" fillId="2" borderId="1" xfId="2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1" xfId="0" applyBorder="1">
      <alignment vertical="center"/>
    </xf>
    <xf numFmtId="41" fontId="6" fillId="3" borderId="1" xfId="3" applyNumberFormat="1" applyFont="1" applyBorder="1" applyAlignment="1">
      <alignment horizontal="center" vertical="center"/>
    </xf>
    <xf numFmtId="41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41" fontId="0" fillId="4" borderId="1" xfId="1" applyFont="1" applyFill="1" applyBorder="1" applyAlignment="1">
      <alignment horizontal="center" vertical="center"/>
    </xf>
    <xf numFmtId="41" fontId="0" fillId="0" borderId="1" xfId="1" applyFont="1" applyFill="1" applyBorder="1" applyAlignment="1">
      <alignment horizontal="center" vertical="center"/>
    </xf>
    <xf numFmtId="41" fontId="2" fillId="5" borderId="1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1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hidden="1"/>
    </xf>
    <xf numFmtId="0" fontId="10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1" xfId="4" applyFont="1" applyFill="1" applyBorder="1" applyAlignment="1">
      <alignment horizontal="center" vertical="center"/>
    </xf>
    <xf numFmtId="0" fontId="11" fillId="7" borderId="0" xfId="4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6">
    <cellStyle name="나쁨" xfId="3" builtinId="27"/>
    <cellStyle name="쉼표 [0]" xfId="1" builtinId="6"/>
    <cellStyle name="쉼표 [0] 2" xfId="5" xr:uid="{D43059DB-0543-4D4E-8135-5999FA59469B}"/>
    <cellStyle name="좋음" xfId="2" builtinId="26"/>
    <cellStyle name="표준" xfId="0" builtinId="0"/>
    <cellStyle name="하이퍼링크" xfId="4" builtinId="8"/>
  </cellStyles>
  <dxfs count="0"/>
  <tableStyles count="0" defaultTableStyle="TableStyleMedium2" defaultPivotStyle="PivotStyleLight16"/>
  <colors>
    <mruColors>
      <color rgb="FF462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2</xdr:row>
      <xdr:rowOff>9526</xdr:rowOff>
    </xdr:from>
    <xdr:to>
      <xdr:col>2</xdr:col>
      <xdr:colOff>9525</xdr:colOff>
      <xdr:row>3</xdr:row>
      <xdr:rowOff>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BBC670AA-330C-4FE4-83F0-9FC293C4D059}"/>
            </a:ext>
          </a:extLst>
        </xdr:cNvPr>
        <xdr:cNvSpPr/>
      </xdr:nvSpPr>
      <xdr:spPr>
        <a:xfrm>
          <a:off x="66674" y="333376"/>
          <a:ext cx="1076326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676274</xdr:colOff>
      <xdr:row>3</xdr:row>
      <xdr:rowOff>9526</xdr:rowOff>
    </xdr:from>
    <xdr:to>
      <xdr:col>2</xdr:col>
      <xdr:colOff>9525</xdr:colOff>
      <xdr:row>3</xdr:row>
      <xdr:rowOff>200026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BFA117E-0653-4985-BFF1-3D360CE14A21}"/>
            </a:ext>
          </a:extLst>
        </xdr:cNvPr>
        <xdr:cNvSpPr/>
      </xdr:nvSpPr>
      <xdr:spPr>
        <a:xfrm>
          <a:off x="676274" y="638176"/>
          <a:ext cx="438151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676274</xdr:colOff>
      <xdr:row>4</xdr:row>
      <xdr:rowOff>9526</xdr:rowOff>
    </xdr:from>
    <xdr:to>
      <xdr:col>2</xdr:col>
      <xdr:colOff>9525</xdr:colOff>
      <xdr:row>4</xdr:row>
      <xdr:rowOff>200026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B00DF7FF-171E-493B-891A-281CADD1DBBC}"/>
            </a:ext>
          </a:extLst>
        </xdr:cNvPr>
        <xdr:cNvSpPr/>
      </xdr:nvSpPr>
      <xdr:spPr>
        <a:xfrm>
          <a:off x="676274" y="847726"/>
          <a:ext cx="438151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676274</xdr:colOff>
      <xdr:row>5</xdr:row>
      <xdr:rowOff>9526</xdr:rowOff>
    </xdr:from>
    <xdr:to>
      <xdr:col>2</xdr:col>
      <xdr:colOff>9525</xdr:colOff>
      <xdr:row>5</xdr:row>
      <xdr:rowOff>200026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7A370050-F39B-441F-A0C5-DEA0867FB84A}"/>
            </a:ext>
          </a:extLst>
        </xdr:cNvPr>
        <xdr:cNvSpPr/>
      </xdr:nvSpPr>
      <xdr:spPr>
        <a:xfrm>
          <a:off x="676274" y="1057276"/>
          <a:ext cx="438151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676274</xdr:colOff>
      <xdr:row>6</xdr:row>
      <xdr:rowOff>9526</xdr:rowOff>
    </xdr:from>
    <xdr:to>
      <xdr:col>2</xdr:col>
      <xdr:colOff>9525</xdr:colOff>
      <xdr:row>6</xdr:row>
      <xdr:rowOff>200026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700E33A4-7D70-46BC-981E-D8DC7C086789}"/>
            </a:ext>
          </a:extLst>
        </xdr:cNvPr>
        <xdr:cNvSpPr/>
      </xdr:nvSpPr>
      <xdr:spPr>
        <a:xfrm>
          <a:off x="676274" y="1266826"/>
          <a:ext cx="438151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676274</xdr:colOff>
      <xdr:row>7</xdr:row>
      <xdr:rowOff>9526</xdr:rowOff>
    </xdr:from>
    <xdr:to>
      <xdr:col>2</xdr:col>
      <xdr:colOff>9525</xdr:colOff>
      <xdr:row>7</xdr:row>
      <xdr:rowOff>200026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1A046B2D-53FC-4716-A467-796D36A8DF0D}"/>
            </a:ext>
          </a:extLst>
        </xdr:cNvPr>
        <xdr:cNvSpPr/>
      </xdr:nvSpPr>
      <xdr:spPr>
        <a:xfrm>
          <a:off x="676274" y="1476376"/>
          <a:ext cx="438151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51452;&#49885;&#44172;&#51076;2026_6&#51312;.xlsx" TargetMode="External"/><Relationship Id="rId3" Type="http://schemas.openxmlformats.org/officeDocument/2006/relationships/hyperlink" Target="&#51452;&#49885;&#44172;&#51076;2026_1&#51312;.xlsx" TargetMode="External"/><Relationship Id="rId7" Type="http://schemas.openxmlformats.org/officeDocument/2006/relationships/hyperlink" Target="&#51452;&#49885;&#44172;&#51076;2026_5&#51312;.xlsx" TargetMode="External"/><Relationship Id="rId2" Type="http://schemas.openxmlformats.org/officeDocument/2006/relationships/hyperlink" Target="&#51452;&#49885;&#44172;&#51076;2026_8&#51312;.xlsx" TargetMode="External"/><Relationship Id="rId1" Type="http://schemas.openxmlformats.org/officeDocument/2006/relationships/hyperlink" Target="&#51452;&#49885;&#44172;&#51076;2026_7&#51312;.xlsx" TargetMode="External"/><Relationship Id="rId6" Type="http://schemas.openxmlformats.org/officeDocument/2006/relationships/hyperlink" Target="&#51452;&#49885;&#44172;&#51076;2026_4&#51312;.xlsx" TargetMode="External"/><Relationship Id="rId5" Type="http://schemas.openxmlformats.org/officeDocument/2006/relationships/hyperlink" Target="&#51452;&#49885;&#44172;&#51076;2026_3&#51312;.xlsx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&#51452;&#49885;&#44172;&#51076;2026_2&#51312;.xlsx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0"/>
  <sheetViews>
    <sheetView tabSelected="1" zoomScaleNormal="100" workbookViewId="0">
      <selection activeCell="C3" sqref="C3"/>
    </sheetView>
  </sheetViews>
  <sheetFormatPr defaultColWidth="9" defaultRowHeight="12.75" x14ac:dyDescent="0.3"/>
  <cols>
    <col min="1" max="1" width="0.875" style="11" customWidth="1"/>
    <col min="2" max="12" width="14" style="11" customWidth="1"/>
    <col min="13" max="13" width="9" style="11" customWidth="1"/>
    <col min="14" max="16384" width="9" style="11"/>
  </cols>
  <sheetData>
    <row r="2" spans="1:12" x14ac:dyDescent="0.3">
      <c r="B2" s="14" t="s">
        <v>0</v>
      </c>
      <c r="C2" s="14">
        <v>2016</v>
      </c>
      <c r="D2" s="14">
        <v>2017</v>
      </c>
      <c r="E2" s="14">
        <v>2018</v>
      </c>
      <c r="F2" s="14">
        <v>2019</v>
      </c>
      <c r="G2" s="14">
        <v>2020</v>
      </c>
      <c r="H2" s="14">
        <v>2021</v>
      </c>
      <c r="I2" s="14">
        <v>2022</v>
      </c>
      <c r="J2" s="14">
        <v>2023</v>
      </c>
      <c r="K2" s="14">
        <v>2024</v>
      </c>
      <c r="L2" s="14">
        <v>2025</v>
      </c>
    </row>
    <row r="3" spans="1:12" x14ac:dyDescent="0.3">
      <c r="B3" s="17" t="s">
        <v>1</v>
      </c>
      <c r="C3" s="12" cm="1">
        <f t="array" aca="1" ref="C3" ca="1">IFERROR(INDIRECT("'[주식게임2026_1조.xlsx]" &amp; $C$2 &amp; "'!$L$3"), "")</f>
        <v>0</v>
      </c>
      <c r="D3" s="12" cm="1">
        <f t="array" aca="1" ref="D3" ca="1">IFERROR(INDIRECT("'[주식게임2026_1조.xlsx]" &amp; $D$2 &amp; "'!$L$3"), "")</f>
        <v>0</v>
      </c>
      <c r="E3" s="12" cm="1">
        <f t="array" aca="1" ref="E3" ca="1">IFERROR(INDIRECT("'[주식게임2026_1조.xlsx]" &amp; $E$2 &amp; "'!$L$3"), "")</f>
        <v>0</v>
      </c>
      <c r="F3" s="12" cm="1">
        <f t="array" aca="1" ref="F3" ca="1">IFERROR(INDIRECT("'[주식게임2026_1조.xlsx]" &amp; $F$2 &amp; "'!$L$3"), "")</f>
        <v>0</v>
      </c>
      <c r="G3" s="12" cm="1">
        <f t="array" aca="1" ref="G3" ca="1">IFERROR(INDIRECT("'[주식게임2026_1조.xlsx]" &amp; $G$2 &amp; "'!$L$3"), "")</f>
        <v>0</v>
      </c>
      <c r="H3" s="12" cm="1">
        <f t="array" aca="1" ref="H3" ca="1">IFERROR(INDIRECT("'[주식게임2026_1조.xlsx]" &amp; $H$2 &amp; "'!$L$3"), "")</f>
        <v>0</v>
      </c>
      <c r="I3" s="12" cm="1">
        <f t="array" aca="1" ref="I3" ca="1">IFERROR(INDIRECT("'[주식게임2026_1조.xlsx]" &amp; $I$2 &amp; "'!$L$3"), "")</f>
        <v>0</v>
      </c>
      <c r="J3" s="12" cm="1">
        <f t="array" aca="1" ref="J3" ca="1">IFERROR(INDIRECT("'[주식게임2026_1조.xlsx]" &amp; $J$2 &amp; "'!$L$3"), "")</f>
        <v>0</v>
      </c>
      <c r="K3" s="12" cm="1">
        <f t="array" aca="1" ref="K3" ca="1">IFERROR(INDIRECT("'[주식게임2026_1조.xlsx]" &amp; $K$2 &amp; "'!$L$3"), "")</f>
        <v>0</v>
      </c>
      <c r="L3" s="12" cm="1">
        <f t="array" aca="1" ref="L3" ca="1">IFERROR(INDIRECT("'[주식게임2026_1조.xlsx]" &amp; $L$2 &amp; "'!$L$3"), "")</f>
        <v>0</v>
      </c>
    </row>
    <row r="4" spans="1:12" x14ac:dyDescent="0.3">
      <c r="A4" s="13"/>
      <c r="B4" s="17" t="s">
        <v>2</v>
      </c>
      <c r="C4" s="12" cm="1">
        <f t="array" aca="1" ref="C4" ca="1">IFERROR(INDIRECT("'[주식게임2026_2조.xlsx]" &amp; $C$2 &amp; "'!$L$3"), "")</f>
        <v>0</v>
      </c>
      <c r="D4" s="12" cm="1">
        <f t="array" aca="1" ref="D4" ca="1">IFERROR(INDIRECT("'[주식게임2026_2조.xlsx]" &amp; $D$2 &amp; "'!$L$3"), "")</f>
        <v>0</v>
      </c>
      <c r="E4" s="12" cm="1">
        <f t="array" aca="1" ref="E4" ca="1">IFERROR(INDIRECT("'[주식게임2026_2조.xlsx]" &amp; $E$2 &amp; "'!$L$3"), "")</f>
        <v>0</v>
      </c>
      <c r="F4" s="12" cm="1">
        <f t="array" aca="1" ref="F4" ca="1">IFERROR(INDIRECT("'[주식게임2026_2조.xlsx]" &amp; $F$2 &amp; "'!$L$3"), "")</f>
        <v>0</v>
      </c>
      <c r="G4" s="12" cm="1">
        <f t="array" aca="1" ref="G4" ca="1">IFERROR(INDIRECT("'[주식게임2026_2조.xlsx]" &amp; $G$2 &amp; "'!$L$3"), "")</f>
        <v>0</v>
      </c>
      <c r="H4" s="12" cm="1">
        <f t="array" aca="1" ref="H4" ca="1">IFERROR(INDIRECT("'[주식게임2026_2조.xlsx]" &amp; $H$2 &amp; "'!$L$3"), "")</f>
        <v>0</v>
      </c>
      <c r="I4" s="12" cm="1">
        <f t="array" aca="1" ref="I4" ca="1">IFERROR(INDIRECT("'[주식게임2026_2조.xlsx]" &amp; $I$2 &amp; "'!$L$3"), "")</f>
        <v>0</v>
      </c>
      <c r="J4" s="12" cm="1">
        <f t="array" aca="1" ref="J4" ca="1">IFERROR(INDIRECT("'[주식게임2026_2조.xlsx]" &amp; $J$2 &amp; "'!$L$3"), "")</f>
        <v>0</v>
      </c>
      <c r="K4" s="12" cm="1">
        <f t="array" aca="1" ref="K4" ca="1">IFERROR(INDIRECT("'[주식게임2026_2조.xlsx]" &amp; $K$2 &amp; "'!$L$3"), "")</f>
        <v>0</v>
      </c>
      <c r="L4" s="12" cm="1">
        <f t="array" aca="1" ref="L4" ca="1">IFERROR(INDIRECT("'[주식게임2026_2조.xlsx]" &amp; $L$2 &amp; "'!$L$3"), "")</f>
        <v>0</v>
      </c>
    </row>
    <row r="5" spans="1:12" x14ac:dyDescent="0.3">
      <c r="B5" s="17" t="s">
        <v>3</v>
      </c>
      <c r="C5" s="12" cm="1">
        <f t="array" aca="1" ref="C5" ca="1">IFERROR(INDIRECT("'[주식게임2026_3조.xlsx]" &amp; $C$2 &amp; "'!$L$3"), "")</f>
        <v>0</v>
      </c>
      <c r="D5" s="12" cm="1">
        <f t="array" aca="1" ref="D5" ca="1">IFERROR(INDIRECT("'[주식게임2026_3조.xlsx]" &amp; $D$2 &amp; "'!$L$3"), "")</f>
        <v>0</v>
      </c>
      <c r="E5" s="12" cm="1">
        <f t="array" aca="1" ref="E5" ca="1">IFERROR(INDIRECT("'[주식게임2026_3조.xlsx]" &amp; $E$2 &amp; "'!$L$3"), "")</f>
        <v>0</v>
      </c>
      <c r="F5" s="12" cm="1">
        <f t="array" aca="1" ref="F5" ca="1">IFERROR(INDIRECT("'[주식게임2026_3조.xlsx]" &amp; $F$2 &amp; "'!$L$3"), "")</f>
        <v>0</v>
      </c>
      <c r="G5" s="12" cm="1">
        <f t="array" aca="1" ref="G5" ca="1">IFERROR(INDIRECT("'[주식게임2026_3조.xlsx]" &amp; $G$2 &amp; "'!$L$3"), "")</f>
        <v>0</v>
      </c>
      <c r="H5" s="12" cm="1">
        <f t="array" aca="1" ref="H5" ca="1">IFERROR(INDIRECT("'[주식게임2026_3조.xlsx]" &amp; $H$2 &amp; "'!$L$3"), "")</f>
        <v>0</v>
      </c>
      <c r="I5" s="12" cm="1">
        <f t="array" aca="1" ref="I5" ca="1">IFERROR(INDIRECT("'[주식게임2026_3조.xlsx]" &amp; $I$2 &amp; "'!$L$3"), "")</f>
        <v>0</v>
      </c>
      <c r="J5" s="12" cm="1">
        <f t="array" aca="1" ref="J5" ca="1">IFERROR(INDIRECT("'[주식게임2026_3조.xlsx]" &amp; $J$2 &amp; "'!$L$3"), "")</f>
        <v>0</v>
      </c>
      <c r="K5" s="12" cm="1">
        <f t="array" aca="1" ref="K5" ca="1">IFERROR(INDIRECT("'[주식게임2026_3조.xlsx]" &amp; $K$2 &amp; "'!$L$3"), "")</f>
        <v>0</v>
      </c>
      <c r="L5" s="12" cm="1">
        <f t="array" aca="1" ref="L5" ca="1">IFERROR(INDIRECT("'[주식게임2026_3조.xlsx]" &amp; $L$2 &amp; "'!$L$3"), "")</f>
        <v>0</v>
      </c>
    </row>
    <row r="6" spans="1:12" x14ac:dyDescent="0.3">
      <c r="B6" s="17" t="s">
        <v>4</v>
      </c>
      <c r="C6" s="12" cm="1">
        <f t="array" aca="1" ref="C6" ca="1">IFERROR(INDIRECT("'[주식게임2026_4조.xlsx]" &amp; $C$2 &amp; "'!$L$3"), "")</f>
        <v>0</v>
      </c>
      <c r="D6" s="12" cm="1">
        <f t="array" aca="1" ref="D6" ca="1">IFERROR(INDIRECT("'[주식게임2026_4조.xlsx]" &amp; $D$2 &amp; "'!$L$3"), "")</f>
        <v>0</v>
      </c>
      <c r="E6" s="12" cm="1">
        <f t="array" aca="1" ref="E6" ca="1">IFERROR(INDIRECT("'[주식게임2026_4조.xlsx]" &amp; $E$2 &amp; "'!$L$3"), "")</f>
        <v>0</v>
      </c>
      <c r="F6" s="12" cm="1">
        <f t="array" aca="1" ref="F6" ca="1">IFERROR(INDIRECT("'[주식게임2026_4조.xlsx]" &amp; $F$2 &amp; "'!$L$3"), "")</f>
        <v>0</v>
      </c>
      <c r="G6" s="12" cm="1">
        <f t="array" aca="1" ref="G6" ca="1">IFERROR(INDIRECT("'[주식게임2026_4조.xlsx]" &amp; $G$2 &amp; "'!$L$3"), "")</f>
        <v>0</v>
      </c>
      <c r="H6" s="12" cm="1">
        <f t="array" aca="1" ref="H6" ca="1">IFERROR(INDIRECT("'[주식게임2026_4조.xlsx]" &amp; $H$2 &amp; "'!$L$3"), "")</f>
        <v>0</v>
      </c>
      <c r="I6" s="12" cm="1">
        <f t="array" aca="1" ref="I6" ca="1">IFERROR(INDIRECT("'[주식게임2026_4조.xlsx]" &amp; $I$2 &amp; "'!$L$3"), "")</f>
        <v>0</v>
      </c>
      <c r="J6" s="12" cm="1">
        <f t="array" aca="1" ref="J6" ca="1">IFERROR(INDIRECT("'[주식게임2026_4조.xlsx]" &amp; $J$2 &amp; "'!$L$3"), "")</f>
        <v>0</v>
      </c>
      <c r="K6" s="12" cm="1">
        <f t="array" aca="1" ref="K6" ca="1">IFERROR(INDIRECT("'[주식게임2026_4조.xlsx]" &amp; $K$2 &amp; "'!$L$3"), "")</f>
        <v>0</v>
      </c>
      <c r="L6" s="12" cm="1">
        <f t="array" aca="1" ref="L6" ca="1">IFERROR(INDIRECT("'[주식게임2026_4조.xlsx]" &amp; $L$2 &amp; "'!$L$3"), "")</f>
        <v>0</v>
      </c>
    </row>
    <row r="7" spans="1:12" x14ac:dyDescent="0.3">
      <c r="B7" s="17" t="s">
        <v>5</v>
      </c>
      <c r="C7" s="12" cm="1">
        <f t="array" aca="1" ref="C7" ca="1">IFERROR(INDIRECT("'[주식게임2026_5조.xlsx]" &amp; $C$2 &amp; "'!$L$3"), "")</f>
        <v>0</v>
      </c>
      <c r="D7" s="12" cm="1">
        <f t="array" aca="1" ref="D7" ca="1">IFERROR(INDIRECT("'[주식게임2026_5조.xlsx]" &amp; $D$2 &amp; "'!$L$3"), "")</f>
        <v>0</v>
      </c>
      <c r="E7" s="12" cm="1">
        <f t="array" aca="1" ref="E7" ca="1">IFERROR(INDIRECT("'[주식게임2026_5조.xlsx]" &amp; $E$2 &amp; "'!$L$3"), "")</f>
        <v>0</v>
      </c>
      <c r="F7" s="12" cm="1">
        <f t="array" aca="1" ref="F7" ca="1">IFERROR(INDIRECT("'[주식게임2026_5조.xlsx]" &amp; $F$2 &amp; "'!$L$3"), "")</f>
        <v>0</v>
      </c>
      <c r="G7" s="12" cm="1">
        <f t="array" aca="1" ref="G7" ca="1">IFERROR(INDIRECT("'[주식게임2026_5조.xlsx]" &amp; $G$2 &amp; "'!$L$3"), "")</f>
        <v>0</v>
      </c>
      <c r="H7" s="12" cm="1">
        <f t="array" aca="1" ref="H7" ca="1">IFERROR(INDIRECT("'[주식게임2026_5조.xlsx]" &amp; $H$2 &amp; "'!$L$3"), "")</f>
        <v>0</v>
      </c>
      <c r="I7" s="12" cm="1">
        <f t="array" aca="1" ref="I7" ca="1">IFERROR(INDIRECT("'[주식게임2026_5조.xlsx]" &amp; $I$2 &amp; "'!$L$3"), "")</f>
        <v>0</v>
      </c>
      <c r="J7" s="12" cm="1">
        <f t="array" aca="1" ref="J7" ca="1">IFERROR(INDIRECT("'[주식게임2026_5조.xlsx]" &amp; $J$2 &amp; "'!$L$3"), "")</f>
        <v>0</v>
      </c>
      <c r="K7" s="12" cm="1">
        <f t="array" aca="1" ref="K7" ca="1">IFERROR(INDIRECT("'[주식게임2026_5조.xlsx]" &amp; $K$2 &amp; "'!$L$3"), "")</f>
        <v>0</v>
      </c>
      <c r="L7" s="12" cm="1">
        <f t="array" aca="1" ref="L7" ca="1">IFERROR(INDIRECT("'[주식게임2026_5조.xlsx]" &amp; $L$2 &amp; "'!$L$3"), "")</f>
        <v>0</v>
      </c>
    </row>
    <row r="8" spans="1:12" x14ac:dyDescent="0.3">
      <c r="B8" s="17" t="s">
        <v>6</v>
      </c>
      <c r="C8" s="12" cm="1">
        <f t="array" aca="1" ref="C8" ca="1">IFERROR(INDIRECT("'[주식게임2026_6조.xlsx]" &amp; $C$2 &amp; "'!$L$3"), "")</f>
        <v>0</v>
      </c>
      <c r="D8" s="12" cm="1">
        <f t="array" aca="1" ref="D8" ca="1">IFERROR(INDIRECT("'[주식게임2026_6조.xlsx]" &amp; $D$2 &amp; "'!$L$3"), "")</f>
        <v>0</v>
      </c>
      <c r="E8" s="12" cm="1">
        <f t="array" aca="1" ref="E8" ca="1">IFERROR(INDIRECT("'[주식게임2026_6조.xlsx]" &amp; $E$2 &amp; "'!$L$3"), "")</f>
        <v>0</v>
      </c>
      <c r="F8" s="12" cm="1">
        <f t="array" aca="1" ref="F8" ca="1">IFERROR(INDIRECT("'[주식게임2026_6조.xlsx]" &amp; $F$2 &amp; "'!$L$3"), "")</f>
        <v>0</v>
      </c>
      <c r="G8" s="12" cm="1">
        <f t="array" aca="1" ref="G8" ca="1">IFERROR(INDIRECT("'[주식게임2026_6조.xlsx]" &amp; $G$2 &amp; "'!$L$3"), "")</f>
        <v>0</v>
      </c>
      <c r="H8" s="12" cm="1">
        <f t="array" aca="1" ref="H8" ca="1">IFERROR(INDIRECT("'[주식게임2026_6조.xlsx]" &amp; $H$2 &amp; "'!$L$3"), "")</f>
        <v>0</v>
      </c>
      <c r="I8" s="12" cm="1">
        <f t="array" aca="1" ref="I8" ca="1">IFERROR(INDIRECT("'[주식게임2026_6조.xlsx]" &amp; $I$2 &amp; "'!$L$3"), "")</f>
        <v>0</v>
      </c>
      <c r="J8" s="12" cm="1">
        <f t="array" aca="1" ref="J8" ca="1">IFERROR(INDIRECT("'[주식게임2026_6조.xlsx]" &amp; $J$2 &amp; "'!$L$3"), "")</f>
        <v>0</v>
      </c>
      <c r="K8" s="12" cm="1">
        <f t="array" aca="1" ref="K8" ca="1">IFERROR(INDIRECT("'[주식게임2026_6조.xlsx]" &amp; $K$2 &amp; "'!$L$3"), "")</f>
        <v>0</v>
      </c>
      <c r="L8" s="12" cm="1">
        <f t="array" aca="1" ref="L8" ca="1">IFERROR(INDIRECT("'[주식게임2026_6조.xlsx]" &amp; $L$2 &amp; "'!$L$3"), "")</f>
        <v>0</v>
      </c>
    </row>
    <row r="9" spans="1:12" x14ac:dyDescent="0.3">
      <c r="B9" s="18" t="s">
        <v>10</v>
      </c>
      <c r="C9" s="12" cm="1">
        <f t="array" aca="1" ref="C9" ca="1">IFERROR(INDIRECT("'[주식게임2026_7조.xlsx]" &amp; $C$2 &amp; "'!$L$3"), "")</f>
        <v>0</v>
      </c>
      <c r="D9" s="12" cm="1">
        <f t="array" aca="1" ref="D9" ca="1">IFERROR(INDIRECT("'[주식게임2026_7조.xlsx]" &amp; $D$2 &amp; "'!$L$3"), "")</f>
        <v>0</v>
      </c>
      <c r="E9" s="12" cm="1">
        <f t="array" aca="1" ref="E9" ca="1">IFERROR(INDIRECT("'[주식게임2026_7조.xlsx]" &amp; $E$2 &amp; "'!$L$3"), "")</f>
        <v>0</v>
      </c>
      <c r="F9" s="12" cm="1">
        <f t="array" aca="1" ref="F9" ca="1">IFERROR(INDIRECT("'[주식게임2026_7조.xlsx]" &amp; $F$2 &amp; "'!$L$3"), "")</f>
        <v>0</v>
      </c>
      <c r="G9" s="12" cm="1">
        <f t="array" aca="1" ref="G9" ca="1">IFERROR(INDIRECT("'[주식게임2026_7조.xlsx]" &amp; $G$2 &amp; "'!$L$3"), "")</f>
        <v>0</v>
      </c>
      <c r="H9" s="12" cm="1">
        <f t="array" aca="1" ref="H9" ca="1">IFERROR(INDIRECT("'[주식게임2026_7조.xlsx]" &amp; $H$2 &amp; "'!$L$3"), "")</f>
        <v>0</v>
      </c>
      <c r="I9" s="12" cm="1">
        <f t="array" aca="1" ref="I9" ca="1">IFERROR(INDIRECT("'[주식게임2026_7조.xlsx]" &amp; $I$2 &amp; "'!$L$3"), "")</f>
        <v>0</v>
      </c>
      <c r="J9" s="12" cm="1">
        <f t="array" aca="1" ref="J9" ca="1">IFERROR(INDIRECT("'[주식게임2026_7조.xlsx]" &amp; $J$2 &amp; "'!$L$3"), "")</f>
        <v>0</v>
      </c>
      <c r="K9" s="12" cm="1">
        <f t="array" aca="1" ref="K9" ca="1">IFERROR(INDIRECT("'[주식게임2026_7조.xlsx]" &amp; $K$2 &amp; "'!$L$3"), "")</f>
        <v>0</v>
      </c>
      <c r="L9" s="12" cm="1">
        <f t="array" aca="1" ref="L9" ca="1">IFERROR(INDIRECT("'[주식게임2026_7조.xlsx]" &amp; $L$2 &amp; "'!$L$3"), "")</f>
        <v>0</v>
      </c>
    </row>
    <row r="10" spans="1:12" x14ac:dyDescent="0.3">
      <c r="B10" s="18" t="s">
        <v>12</v>
      </c>
      <c r="C10" s="12" cm="1">
        <f t="array" aca="1" ref="C10" ca="1">IFERROR(INDIRECT("'[주식게임2026_8조.xlsx]" &amp; $C$2 &amp; "'!$L$3"), "")</f>
        <v>0</v>
      </c>
      <c r="D10" s="12" cm="1">
        <f t="array" aca="1" ref="D10" ca="1">IFERROR(INDIRECT("'[주식게임2026_8조.xlsx]" &amp; $D$2 &amp; "'!$L$3"), "")</f>
        <v>0</v>
      </c>
      <c r="E10" s="12" cm="1">
        <f t="array" aca="1" ref="E10" ca="1">IFERROR(INDIRECT("'[주식게임2026_8조.xlsx]" &amp; $E$2 &amp; "'!$L$3"), "")</f>
        <v>0</v>
      </c>
      <c r="F10" s="12" cm="1">
        <f t="array" aca="1" ref="F10" ca="1">IFERROR(INDIRECT("'[주식게임2026_8조.xlsx]" &amp; $F$2 &amp; "'!$L$3"), "")</f>
        <v>0</v>
      </c>
      <c r="G10" s="12" cm="1">
        <f t="array" aca="1" ref="G10" ca="1">IFERROR(INDIRECT("'[주식게임2026_8조.xlsx]" &amp; $G$2 &amp; "'!$L$3"), "")</f>
        <v>0</v>
      </c>
      <c r="H10" s="12" cm="1">
        <f t="array" aca="1" ref="H10" ca="1">IFERROR(INDIRECT("'[주식게임2026_8조.xlsx]" &amp; $H$2 &amp; "'!$L$3"), "")</f>
        <v>0</v>
      </c>
      <c r="I10" s="12" cm="1">
        <f t="array" aca="1" ref="I10" ca="1">IFERROR(INDIRECT("'[주식게임2026_8조.xlsx]" &amp; $I$2 &amp; "'!$L$3"), "")</f>
        <v>0</v>
      </c>
      <c r="J10" s="12" cm="1">
        <f t="array" aca="1" ref="J10" ca="1">IFERROR(INDIRECT("'[주식게임2026_8조.xlsx]" &amp; $J$2 &amp; "'!$L$3"), "")</f>
        <v>0</v>
      </c>
      <c r="K10" s="12" cm="1">
        <f t="array" aca="1" ref="K10" ca="1">IFERROR(INDIRECT("'[주식게임2026_8조.xlsx]" &amp; $K$2 &amp; "'!$L$3"), "")</f>
        <v>0</v>
      </c>
      <c r="L10" s="12" cm="1">
        <f t="array" aca="1" ref="L10" ca="1">IFERROR(INDIRECT("'[주식게임2026_8조.xlsx]" &amp; $L$2 &amp; "'!$L$3"), "")</f>
        <v>0</v>
      </c>
    </row>
    <row r="12" spans="1:12" x14ac:dyDescent="0.3">
      <c r="B12" s="14" t="s">
        <v>8</v>
      </c>
      <c r="C12" s="14">
        <f>C2</f>
        <v>2016</v>
      </c>
      <c r="D12" s="14" t="s">
        <v>7</v>
      </c>
      <c r="F12" s="14" t="s">
        <v>0</v>
      </c>
      <c r="G12" s="14">
        <f>D2</f>
        <v>2017</v>
      </c>
      <c r="H12" s="14" t="s">
        <v>7</v>
      </c>
      <c r="J12" s="14" t="s">
        <v>0</v>
      </c>
      <c r="K12" s="14">
        <f>E2</f>
        <v>2018</v>
      </c>
      <c r="L12" s="14" t="s">
        <v>7</v>
      </c>
    </row>
    <row r="13" spans="1:12" ht="14.25" customHeight="1" x14ac:dyDescent="0.3">
      <c r="B13" s="16" t="s">
        <v>1</v>
      </c>
      <c r="C13" s="20">
        <f ca="1">C3</f>
        <v>0</v>
      </c>
      <c r="D13" s="19">
        <f ca="1">IFERROR(RANK(C13, $C$13:$C$20, 0), "")</f>
        <v>1</v>
      </c>
      <c r="F13" s="16" t="s">
        <v>1</v>
      </c>
      <c r="G13" s="12">
        <f t="shared" ref="G13:G20" ca="1" si="0">D3</f>
        <v>0</v>
      </c>
      <c r="H13" s="15">
        <f ca="1">IFERROR(RANK(G13, $G$13:$G$20, 0), "")</f>
        <v>1</v>
      </c>
      <c r="J13" s="16" t="s">
        <v>1</v>
      </c>
      <c r="K13" s="12">
        <f t="shared" ref="K13:K20" ca="1" si="1">E3</f>
        <v>0</v>
      </c>
      <c r="L13" s="15">
        <f ca="1">IFERROR(RANK(K13, $K$13:$K$20, 0), "")</f>
        <v>1</v>
      </c>
    </row>
    <row r="14" spans="1:12" ht="14.25" customHeight="1" x14ac:dyDescent="0.3">
      <c r="B14" s="16" t="s">
        <v>2</v>
      </c>
      <c r="C14" s="20">
        <f t="shared" ref="C14:C20" ca="1" si="2">C4</f>
        <v>0</v>
      </c>
      <c r="D14" s="21">
        <f t="shared" ref="D14:D20" ca="1" si="3">IFERROR(RANK(C14, $C$13:$C$20, 0), "")</f>
        <v>1</v>
      </c>
      <c r="F14" s="16" t="s">
        <v>2</v>
      </c>
      <c r="G14" s="12">
        <f t="shared" ca="1" si="0"/>
        <v>0</v>
      </c>
      <c r="H14" s="15">
        <f t="shared" ref="H14:H20" ca="1" si="4">IFERROR(RANK(G14, $G$13:$G$20, 0), "")</f>
        <v>1</v>
      </c>
      <c r="J14" s="16" t="s">
        <v>2</v>
      </c>
      <c r="K14" s="12">
        <f t="shared" ca="1" si="1"/>
        <v>0</v>
      </c>
      <c r="L14" s="15">
        <f t="shared" ref="L14:L20" ca="1" si="5">IFERROR(RANK(K14, $K$13:$K$20, 0), "")</f>
        <v>1</v>
      </c>
    </row>
    <row r="15" spans="1:12" ht="14.25" customHeight="1" x14ac:dyDescent="0.3">
      <c r="B15" s="16" t="s">
        <v>3</v>
      </c>
      <c r="C15" s="20">
        <f t="shared" ca="1" si="2"/>
        <v>0</v>
      </c>
      <c r="D15" s="21">
        <f t="shared" ca="1" si="3"/>
        <v>1</v>
      </c>
      <c r="F15" s="16" t="s">
        <v>3</v>
      </c>
      <c r="G15" s="12">
        <f t="shared" ca="1" si="0"/>
        <v>0</v>
      </c>
      <c r="H15" s="15">
        <f t="shared" ca="1" si="4"/>
        <v>1</v>
      </c>
      <c r="J15" s="16" t="s">
        <v>3</v>
      </c>
      <c r="K15" s="12">
        <f t="shared" ca="1" si="1"/>
        <v>0</v>
      </c>
      <c r="L15" s="15">
        <f t="shared" ca="1" si="5"/>
        <v>1</v>
      </c>
    </row>
    <row r="16" spans="1:12" ht="14.25" customHeight="1" x14ac:dyDescent="0.3">
      <c r="B16" s="16" t="s">
        <v>4</v>
      </c>
      <c r="C16" s="20">
        <f t="shared" ca="1" si="2"/>
        <v>0</v>
      </c>
      <c r="D16" s="21">
        <f t="shared" ca="1" si="3"/>
        <v>1</v>
      </c>
      <c r="F16" s="16" t="s">
        <v>4</v>
      </c>
      <c r="G16" s="12">
        <f t="shared" ca="1" si="0"/>
        <v>0</v>
      </c>
      <c r="H16" s="15">
        <f t="shared" ca="1" si="4"/>
        <v>1</v>
      </c>
      <c r="J16" s="16" t="s">
        <v>4</v>
      </c>
      <c r="K16" s="12">
        <f t="shared" ca="1" si="1"/>
        <v>0</v>
      </c>
      <c r="L16" s="15">
        <f t="shared" ca="1" si="5"/>
        <v>1</v>
      </c>
    </row>
    <row r="17" spans="2:12" ht="14.25" customHeight="1" x14ac:dyDescent="0.3">
      <c r="B17" s="16" t="s">
        <v>5</v>
      </c>
      <c r="C17" s="20">
        <f t="shared" ca="1" si="2"/>
        <v>0</v>
      </c>
      <c r="D17" s="21">
        <f t="shared" ca="1" si="3"/>
        <v>1</v>
      </c>
      <c r="F17" s="16" t="s">
        <v>5</v>
      </c>
      <c r="G17" s="12">
        <f t="shared" ca="1" si="0"/>
        <v>0</v>
      </c>
      <c r="H17" s="15">
        <f t="shared" ca="1" si="4"/>
        <v>1</v>
      </c>
      <c r="J17" s="16" t="s">
        <v>5</v>
      </c>
      <c r="K17" s="12">
        <f t="shared" ca="1" si="1"/>
        <v>0</v>
      </c>
      <c r="L17" s="15">
        <f t="shared" ca="1" si="5"/>
        <v>1</v>
      </c>
    </row>
    <row r="18" spans="2:12" ht="14.25" customHeight="1" x14ac:dyDescent="0.3">
      <c r="B18" s="16" t="s">
        <v>6</v>
      </c>
      <c r="C18" s="20">
        <f t="shared" ca="1" si="2"/>
        <v>0</v>
      </c>
      <c r="D18" s="21">
        <f t="shared" ca="1" si="3"/>
        <v>1</v>
      </c>
      <c r="F18" s="16" t="s">
        <v>6</v>
      </c>
      <c r="G18" s="12">
        <f t="shared" ca="1" si="0"/>
        <v>0</v>
      </c>
      <c r="H18" s="15">
        <f t="shared" ca="1" si="4"/>
        <v>1</v>
      </c>
      <c r="J18" s="16" t="s">
        <v>6</v>
      </c>
      <c r="K18" s="12">
        <f t="shared" ca="1" si="1"/>
        <v>0</v>
      </c>
      <c r="L18" s="15">
        <f t="shared" ca="1" si="5"/>
        <v>1</v>
      </c>
    </row>
    <row r="19" spans="2:12" ht="14.25" customHeight="1" x14ac:dyDescent="0.3">
      <c r="B19" s="16" t="s">
        <v>9</v>
      </c>
      <c r="C19" s="20">
        <f t="shared" ca="1" si="2"/>
        <v>0</v>
      </c>
      <c r="D19" s="21">
        <f t="shared" ca="1" si="3"/>
        <v>1</v>
      </c>
      <c r="F19" s="16" t="s">
        <v>9</v>
      </c>
      <c r="G19" s="12">
        <f t="shared" ca="1" si="0"/>
        <v>0</v>
      </c>
      <c r="H19" s="15">
        <f t="shared" ca="1" si="4"/>
        <v>1</v>
      </c>
      <c r="J19" s="16" t="s">
        <v>9</v>
      </c>
      <c r="K19" s="12">
        <f t="shared" ca="1" si="1"/>
        <v>0</v>
      </c>
      <c r="L19" s="15">
        <f t="shared" ca="1" si="5"/>
        <v>1</v>
      </c>
    </row>
    <row r="20" spans="2:12" ht="14.25" customHeight="1" x14ac:dyDescent="0.3">
      <c r="B20" s="16" t="s">
        <v>11</v>
      </c>
      <c r="C20" s="20">
        <f t="shared" ca="1" si="2"/>
        <v>0</v>
      </c>
      <c r="D20" s="21">
        <f t="shared" ca="1" si="3"/>
        <v>1</v>
      </c>
      <c r="F20" s="16" t="s">
        <v>11</v>
      </c>
      <c r="G20" s="12">
        <f t="shared" ca="1" si="0"/>
        <v>0</v>
      </c>
      <c r="H20" s="15">
        <f t="shared" ca="1" si="4"/>
        <v>1</v>
      </c>
      <c r="J20" s="16" t="s">
        <v>11</v>
      </c>
      <c r="K20" s="12">
        <f t="shared" ca="1" si="1"/>
        <v>0</v>
      </c>
      <c r="L20" s="15">
        <f t="shared" ca="1" si="5"/>
        <v>1</v>
      </c>
    </row>
    <row r="22" spans="2:12" x14ac:dyDescent="0.3">
      <c r="B22" s="14" t="s">
        <v>8</v>
      </c>
      <c r="C22" s="14">
        <f>F2</f>
        <v>2019</v>
      </c>
      <c r="D22" s="14" t="s">
        <v>7</v>
      </c>
      <c r="F22" s="14" t="s">
        <v>0</v>
      </c>
      <c r="G22" s="14">
        <f>G2</f>
        <v>2020</v>
      </c>
      <c r="H22" s="14" t="s">
        <v>7</v>
      </c>
      <c r="J22" s="14" t="s">
        <v>0</v>
      </c>
      <c r="K22" s="14">
        <f>H2</f>
        <v>2021</v>
      </c>
      <c r="L22" s="14" t="s">
        <v>7</v>
      </c>
    </row>
    <row r="23" spans="2:12" x14ac:dyDescent="0.3">
      <c r="B23" s="16" t="s">
        <v>1</v>
      </c>
      <c r="C23" s="12">
        <f t="shared" ref="C23:C28" ca="1" si="6">F3</f>
        <v>0</v>
      </c>
      <c r="D23" s="15">
        <f ca="1">IFERROR(RANK(C23, $C$23:$C$30, 0), "")</f>
        <v>1</v>
      </c>
      <c r="F23" s="16" t="s">
        <v>1</v>
      </c>
      <c r="G23" s="12">
        <f t="shared" ref="G23:G28" ca="1" si="7">G3</f>
        <v>0</v>
      </c>
      <c r="H23" s="15">
        <f ca="1">IFERROR(RANK(G23, $G$23:$G$30, 0), "")</f>
        <v>1</v>
      </c>
      <c r="J23" s="16" t="s">
        <v>1</v>
      </c>
      <c r="K23" s="12">
        <f t="shared" ref="K23:K28" ca="1" si="8">H3</f>
        <v>0</v>
      </c>
      <c r="L23" s="15">
        <f ca="1">IFERROR(RANK(K23, $K$23:$K$30, 0), "")</f>
        <v>1</v>
      </c>
    </row>
    <row r="24" spans="2:12" x14ac:dyDescent="0.3">
      <c r="B24" s="16" t="s">
        <v>2</v>
      </c>
      <c r="C24" s="12">
        <f t="shared" ca="1" si="6"/>
        <v>0</v>
      </c>
      <c r="D24" s="15">
        <f t="shared" ref="D24:D30" ca="1" si="9">IFERROR(RANK(C24, $C$23:$C$30, 0), "")</f>
        <v>1</v>
      </c>
      <c r="F24" s="16" t="s">
        <v>2</v>
      </c>
      <c r="G24" s="12">
        <f t="shared" ca="1" si="7"/>
        <v>0</v>
      </c>
      <c r="H24" s="15">
        <f t="shared" ref="H24:H30" ca="1" si="10">IFERROR(RANK(G24, $G$23:$G$30, 0), "")</f>
        <v>1</v>
      </c>
      <c r="J24" s="16" t="s">
        <v>2</v>
      </c>
      <c r="K24" s="12">
        <f t="shared" ca="1" si="8"/>
        <v>0</v>
      </c>
      <c r="L24" s="15">
        <f t="shared" ref="L24:L30" ca="1" si="11">IFERROR(RANK(K24, $K$23:$K$30, 0), "")</f>
        <v>1</v>
      </c>
    </row>
    <row r="25" spans="2:12" x14ac:dyDescent="0.3">
      <c r="B25" s="16" t="s">
        <v>3</v>
      </c>
      <c r="C25" s="12">
        <f t="shared" ca="1" si="6"/>
        <v>0</v>
      </c>
      <c r="D25" s="15">
        <f t="shared" ca="1" si="9"/>
        <v>1</v>
      </c>
      <c r="F25" s="16" t="s">
        <v>3</v>
      </c>
      <c r="G25" s="12">
        <f t="shared" ca="1" si="7"/>
        <v>0</v>
      </c>
      <c r="H25" s="15">
        <f t="shared" ca="1" si="10"/>
        <v>1</v>
      </c>
      <c r="J25" s="16" t="s">
        <v>3</v>
      </c>
      <c r="K25" s="12">
        <f t="shared" ca="1" si="8"/>
        <v>0</v>
      </c>
      <c r="L25" s="15">
        <f t="shared" ca="1" si="11"/>
        <v>1</v>
      </c>
    </row>
    <row r="26" spans="2:12" x14ac:dyDescent="0.3">
      <c r="B26" s="16" t="s">
        <v>4</v>
      </c>
      <c r="C26" s="12">
        <f t="shared" ca="1" si="6"/>
        <v>0</v>
      </c>
      <c r="D26" s="15">
        <f t="shared" ca="1" si="9"/>
        <v>1</v>
      </c>
      <c r="F26" s="16" t="s">
        <v>4</v>
      </c>
      <c r="G26" s="12">
        <f t="shared" ca="1" si="7"/>
        <v>0</v>
      </c>
      <c r="H26" s="15">
        <f t="shared" ca="1" si="10"/>
        <v>1</v>
      </c>
      <c r="J26" s="16" t="s">
        <v>4</v>
      </c>
      <c r="K26" s="12">
        <f t="shared" ca="1" si="8"/>
        <v>0</v>
      </c>
      <c r="L26" s="15">
        <f t="shared" ca="1" si="11"/>
        <v>1</v>
      </c>
    </row>
    <row r="27" spans="2:12" x14ac:dyDescent="0.3">
      <c r="B27" s="16" t="s">
        <v>5</v>
      </c>
      <c r="C27" s="12">
        <f t="shared" ca="1" si="6"/>
        <v>0</v>
      </c>
      <c r="D27" s="15">
        <f t="shared" ca="1" si="9"/>
        <v>1</v>
      </c>
      <c r="F27" s="16" t="s">
        <v>5</v>
      </c>
      <c r="G27" s="12">
        <f t="shared" ca="1" si="7"/>
        <v>0</v>
      </c>
      <c r="H27" s="15">
        <f t="shared" ca="1" si="10"/>
        <v>1</v>
      </c>
      <c r="J27" s="16" t="s">
        <v>5</v>
      </c>
      <c r="K27" s="12">
        <f t="shared" ca="1" si="8"/>
        <v>0</v>
      </c>
      <c r="L27" s="15">
        <f t="shared" ca="1" si="11"/>
        <v>1</v>
      </c>
    </row>
    <row r="28" spans="2:12" x14ac:dyDescent="0.3">
      <c r="B28" s="16" t="s">
        <v>6</v>
      </c>
      <c r="C28" s="12">
        <f t="shared" ca="1" si="6"/>
        <v>0</v>
      </c>
      <c r="D28" s="15">
        <f t="shared" ca="1" si="9"/>
        <v>1</v>
      </c>
      <c r="F28" s="16" t="s">
        <v>6</v>
      </c>
      <c r="G28" s="12">
        <f t="shared" ca="1" si="7"/>
        <v>0</v>
      </c>
      <c r="H28" s="15">
        <f t="shared" ca="1" si="10"/>
        <v>1</v>
      </c>
      <c r="J28" s="16" t="s">
        <v>6</v>
      </c>
      <c r="K28" s="12">
        <f t="shared" ca="1" si="8"/>
        <v>0</v>
      </c>
      <c r="L28" s="15">
        <f t="shared" ca="1" si="11"/>
        <v>1</v>
      </c>
    </row>
    <row r="29" spans="2:12" x14ac:dyDescent="0.3">
      <c r="B29" s="16" t="s">
        <v>9</v>
      </c>
      <c r="C29" s="12">
        <f t="shared" ref="C29:C30" ca="1" si="12">F9</f>
        <v>0</v>
      </c>
      <c r="D29" s="15">
        <f t="shared" ca="1" si="9"/>
        <v>1</v>
      </c>
      <c r="F29" s="16" t="s">
        <v>9</v>
      </c>
      <c r="G29" s="12">
        <f t="shared" ref="G29:G30" ca="1" si="13">G9</f>
        <v>0</v>
      </c>
      <c r="H29" s="15">
        <f t="shared" ca="1" si="10"/>
        <v>1</v>
      </c>
      <c r="J29" s="16" t="s">
        <v>9</v>
      </c>
      <c r="K29" s="12">
        <f t="shared" ref="K29:K30" ca="1" si="14">H9</f>
        <v>0</v>
      </c>
      <c r="L29" s="15">
        <f t="shared" ca="1" si="11"/>
        <v>1</v>
      </c>
    </row>
    <row r="30" spans="2:12" x14ac:dyDescent="0.3">
      <c r="B30" s="16" t="s">
        <v>11</v>
      </c>
      <c r="C30" s="12">
        <f t="shared" ca="1" si="12"/>
        <v>0</v>
      </c>
      <c r="D30" s="15">
        <f t="shared" ca="1" si="9"/>
        <v>1</v>
      </c>
      <c r="F30" s="16" t="s">
        <v>11</v>
      </c>
      <c r="G30" s="12">
        <f t="shared" ca="1" si="13"/>
        <v>0</v>
      </c>
      <c r="H30" s="15">
        <f t="shared" ca="1" si="10"/>
        <v>1</v>
      </c>
      <c r="J30" s="16" t="s">
        <v>11</v>
      </c>
      <c r="K30" s="12">
        <f t="shared" ca="1" si="14"/>
        <v>0</v>
      </c>
      <c r="L30" s="15">
        <f t="shared" ca="1" si="11"/>
        <v>1</v>
      </c>
    </row>
    <row r="32" spans="2:12" x14ac:dyDescent="0.3">
      <c r="B32" s="14" t="s">
        <v>8</v>
      </c>
      <c r="C32" s="14">
        <f>I2</f>
        <v>2022</v>
      </c>
      <c r="D32" s="14" t="s">
        <v>7</v>
      </c>
      <c r="F32" s="14" t="s">
        <v>0</v>
      </c>
      <c r="G32" s="14">
        <f>J2</f>
        <v>2023</v>
      </c>
      <c r="H32" s="14" t="s">
        <v>7</v>
      </c>
      <c r="J32" s="14" t="s">
        <v>0</v>
      </c>
      <c r="K32" s="14">
        <f>K2</f>
        <v>2024</v>
      </c>
      <c r="L32" s="14" t="s">
        <v>7</v>
      </c>
    </row>
    <row r="33" spans="2:12" x14ac:dyDescent="0.3">
      <c r="B33" s="16" t="s">
        <v>1</v>
      </c>
      <c r="C33" s="12">
        <f t="shared" ref="C33:C38" ca="1" si="15">I3</f>
        <v>0</v>
      </c>
      <c r="D33" s="15">
        <f ca="1">IFERROR(RANK(C33, $C$33:$C$40, 0), "")</f>
        <v>1</v>
      </c>
      <c r="F33" s="16" t="s">
        <v>1</v>
      </c>
      <c r="G33" s="12">
        <f t="shared" ref="G33:G38" ca="1" si="16">J3</f>
        <v>0</v>
      </c>
      <c r="H33" s="15">
        <f ca="1">IFERROR(RANK(G23, $G$33:$G$40, 0), "")</f>
        <v>1</v>
      </c>
      <c r="J33" s="16" t="s">
        <v>1</v>
      </c>
      <c r="K33" s="12">
        <f t="shared" ref="K33:K40" ca="1" si="17">K3</f>
        <v>0</v>
      </c>
      <c r="L33" s="15">
        <f ca="1">IFERROR(RANK(K23, $K$33:$K$40, 0), "")</f>
        <v>1</v>
      </c>
    </row>
    <row r="34" spans="2:12" x14ac:dyDescent="0.3">
      <c r="B34" s="16" t="s">
        <v>2</v>
      </c>
      <c r="C34" s="12">
        <f t="shared" ca="1" si="15"/>
        <v>0</v>
      </c>
      <c r="D34" s="15">
        <f t="shared" ref="D34:D40" ca="1" si="18">IFERROR(RANK(C34, $C$33:$C$40, 0), "")</f>
        <v>1</v>
      </c>
      <c r="F34" s="16" t="s">
        <v>2</v>
      </c>
      <c r="G34" s="12">
        <f t="shared" ca="1" si="16"/>
        <v>0</v>
      </c>
      <c r="H34" s="15">
        <f t="shared" ref="H34:H40" ca="1" si="19">IFERROR(RANK(G24, $G$33:$G$40, 0), "")</f>
        <v>1</v>
      </c>
      <c r="J34" s="16" t="s">
        <v>2</v>
      </c>
      <c r="K34" s="12">
        <f t="shared" ca="1" si="17"/>
        <v>0</v>
      </c>
      <c r="L34" s="15">
        <f t="shared" ref="L34:L40" ca="1" si="20">IFERROR(RANK(K24, $K$33:$K$40, 0), "")</f>
        <v>1</v>
      </c>
    </row>
    <row r="35" spans="2:12" x14ac:dyDescent="0.3">
      <c r="B35" s="16" t="s">
        <v>3</v>
      </c>
      <c r="C35" s="12">
        <f t="shared" ca="1" si="15"/>
        <v>0</v>
      </c>
      <c r="D35" s="15">
        <f t="shared" ca="1" si="18"/>
        <v>1</v>
      </c>
      <c r="F35" s="16" t="s">
        <v>3</v>
      </c>
      <c r="G35" s="12">
        <f t="shared" ca="1" si="16"/>
        <v>0</v>
      </c>
      <c r="H35" s="15">
        <f t="shared" ca="1" si="19"/>
        <v>1</v>
      </c>
      <c r="J35" s="16" t="s">
        <v>3</v>
      </c>
      <c r="K35" s="12">
        <f t="shared" ca="1" si="17"/>
        <v>0</v>
      </c>
      <c r="L35" s="15">
        <f t="shared" ca="1" si="20"/>
        <v>1</v>
      </c>
    </row>
    <row r="36" spans="2:12" x14ac:dyDescent="0.3">
      <c r="B36" s="16" t="s">
        <v>4</v>
      </c>
      <c r="C36" s="12">
        <f t="shared" ca="1" si="15"/>
        <v>0</v>
      </c>
      <c r="D36" s="15">
        <f t="shared" ca="1" si="18"/>
        <v>1</v>
      </c>
      <c r="F36" s="16" t="s">
        <v>4</v>
      </c>
      <c r="G36" s="12">
        <f t="shared" ca="1" si="16"/>
        <v>0</v>
      </c>
      <c r="H36" s="15">
        <f t="shared" ca="1" si="19"/>
        <v>1</v>
      </c>
      <c r="J36" s="16" t="s">
        <v>4</v>
      </c>
      <c r="K36" s="12">
        <f t="shared" ca="1" si="17"/>
        <v>0</v>
      </c>
      <c r="L36" s="15">
        <f t="shared" ca="1" si="20"/>
        <v>1</v>
      </c>
    </row>
    <row r="37" spans="2:12" x14ac:dyDescent="0.3">
      <c r="B37" s="16" t="s">
        <v>5</v>
      </c>
      <c r="C37" s="12">
        <f t="shared" ca="1" si="15"/>
        <v>0</v>
      </c>
      <c r="D37" s="15">
        <f t="shared" ca="1" si="18"/>
        <v>1</v>
      </c>
      <c r="F37" s="16" t="s">
        <v>5</v>
      </c>
      <c r="G37" s="12">
        <f t="shared" ca="1" si="16"/>
        <v>0</v>
      </c>
      <c r="H37" s="15">
        <f t="shared" ca="1" si="19"/>
        <v>1</v>
      </c>
      <c r="J37" s="16" t="s">
        <v>5</v>
      </c>
      <c r="K37" s="12">
        <f t="shared" ca="1" si="17"/>
        <v>0</v>
      </c>
      <c r="L37" s="15">
        <f t="shared" ca="1" si="20"/>
        <v>1</v>
      </c>
    </row>
    <row r="38" spans="2:12" x14ac:dyDescent="0.3">
      <c r="B38" s="16" t="s">
        <v>6</v>
      </c>
      <c r="C38" s="12">
        <f t="shared" ca="1" si="15"/>
        <v>0</v>
      </c>
      <c r="D38" s="15">
        <f t="shared" ca="1" si="18"/>
        <v>1</v>
      </c>
      <c r="F38" s="16" t="s">
        <v>6</v>
      </c>
      <c r="G38" s="12">
        <f t="shared" ca="1" si="16"/>
        <v>0</v>
      </c>
      <c r="H38" s="15">
        <f t="shared" ca="1" si="19"/>
        <v>1</v>
      </c>
      <c r="J38" s="16" t="s">
        <v>6</v>
      </c>
      <c r="K38" s="12">
        <f t="shared" ca="1" si="17"/>
        <v>0</v>
      </c>
      <c r="L38" s="15">
        <f t="shared" ca="1" si="20"/>
        <v>1</v>
      </c>
    </row>
    <row r="39" spans="2:12" x14ac:dyDescent="0.3">
      <c r="B39" s="16" t="s">
        <v>9</v>
      </c>
      <c r="C39" s="12">
        <f t="shared" ref="C39:C40" ca="1" si="21">I9</f>
        <v>0</v>
      </c>
      <c r="D39" s="15">
        <f t="shared" ca="1" si="18"/>
        <v>1</v>
      </c>
      <c r="F39" s="16" t="s">
        <v>9</v>
      </c>
      <c r="G39" s="12">
        <f t="shared" ref="G39:G40" ca="1" si="22">J9</f>
        <v>0</v>
      </c>
      <c r="H39" s="15">
        <f t="shared" ca="1" si="19"/>
        <v>1</v>
      </c>
      <c r="J39" s="16" t="s">
        <v>9</v>
      </c>
      <c r="K39" s="12">
        <f t="shared" ca="1" si="17"/>
        <v>0</v>
      </c>
      <c r="L39" s="15">
        <f t="shared" ca="1" si="20"/>
        <v>1</v>
      </c>
    </row>
    <row r="40" spans="2:12" x14ac:dyDescent="0.3">
      <c r="B40" s="16" t="s">
        <v>11</v>
      </c>
      <c r="C40" s="12">
        <f t="shared" ca="1" si="21"/>
        <v>0</v>
      </c>
      <c r="D40" s="15">
        <f t="shared" ca="1" si="18"/>
        <v>1</v>
      </c>
      <c r="F40" s="16" t="s">
        <v>11</v>
      </c>
      <c r="G40" s="12">
        <f t="shared" ca="1" si="22"/>
        <v>0</v>
      </c>
      <c r="H40" s="15">
        <f t="shared" ca="1" si="19"/>
        <v>1</v>
      </c>
      <c r="J40" s="16" t="s">
        <v>11</v>
      </c>
      <c r="K40" s="12">
        <f t="shared" ca="1" si="17"/>
        <v>0</v>
      </c>
      <c r="L40" s="15">
        <f t="shared" ca="1" si="20"/>
        <v>1</v>
      </c>
    </row>
    <row r="42" spans="2:12" x14ac:dyDescent="0.3">
      <c r="B42" s="14" t="s">
        <v>0</v>
      </c>
      <c r="C42" s="14">
        <f>L2</f>
        <v>2025</v>
      </c>
      <c r="D42" s="14" t="s">
        <v>7</v>
      </c>
    </row>
    <row r="43" spans="2:12" x14ac:dyDescent="0.3">
      <c r="B43" s="16" t="s">
        <v>1</v>
      </c>
      <c r="C43" s="12">
        <f t="shared" ref="C43:C48" ca="1" si="23">L3</f>
        <v>0</v>
      </c>
      <c r="D43" s="15">
        <f ca="1">IFERROR(RANK(C43, $C$43:$C$50, 0), "")</f>
        <v>1</v>
      </c>
    </row>
    <row r="44" spans="2:12" x14ac:dyDescent="0.3">
      <c r="B44" s="16" t="s">
        <v>2</v>
      </c>
      <c r="C44" s="12">
        <f t="shared" ca="1" si="23"/>
        <v>0</v>
      </c>
      <c r="D44" s="15">
        <f t="shared" ref="D44:D50" ca="1" si="24">IFERROR(RANK(C44, $C$43:$C$50, 0), "")</f>
        <v>1</v>
      </c>
    </row>
    <row r="45" spans="2:12" x14ac:dyDescent="0.3">
      <c r="B45" s="16" t="s">
        <v>3</v>
      </c>
      <c r="C45" s="12">
        <f t="shared" ca="1" si="23"/>
        <v>0</v>
      </c>
      <c r="D45" s="15">
        <f t="shared" ca="1" si="24"/>
        <v>1</v>
      </c>
    </row>
    <row r="46" spans="2:12" x14ac:dyDescent="0.3">
      <c r="B46" s="16" t="s">
        <v>4</v>
      </c>
      <c r="C46" s="12">
        <f t="shared" ca="1" si="23"/>
        <v>0</v>
      </c>
      <c r="D46" s="15">
        <f t="shared" ca="1" si="24"/>
        <v>1</v>
      </c>
    </row>
    <row r="47" spans="2:12" x14ac:dyDescent="0.3">
      <c r="B47" s="16" t="s">
        <v>5</v>
      </c>
      <c r="C47" s="12">
        <f t="shared" ca="1" si="23"/>
        <v>0</v>
      </c>
      <c r="D47" s="15">
        <f t="shared" ca="1" si="24"/>
        <v>1</v>
      </c>
    </row>
    <row r="48" spans="2:12" x14ac:dyDescent="0.3">
      <c r="B48" s="16" t="s">
        <v>6</v>
      </c>
      <c r="C48" s="12">
        <f t="shared" ca="1" si="23"/>
        <v>0</v>
      </c>
      <c r="D48" s="15">
        <f t="shared" ca="1" si="24"/>
        <v>1</v>
      </c>
    </row>
    <row r="49" spans="2:4" x14ac:dyDescent="0.3">
      <c r="B49" s="16" t="s">
        <v>9</v>
      </c>
      <c r="C49" s="12">
        <f t="shared" ref="C49:C50" ca="1" si="25">L9</f>
        <v>0</v>
      </c>
      <c r="D49" s="15">
        <f t="shared" ca="1" si="24"/>
        <v>1</v>
      </c>
    </row>
    <row r="50" spans="2:4" x14ac:dyDescent="0.3">
      <c r="B50" s="16" t="s">
        <v>11</v>
      </c>
      <c r="C50" s="12">
        <f t="shared" ca="1" si="25"/>
        <v>0</v>
      </c>
      <c r="D50" s="15">
        <f t="shared" ca="1" si="24"/>
        <v>1</v>
      </c>
    </row>
  </sheetData>
  <phoneticPr fontId="1" type="noConversion"/>
  <hyperlinks>
    <hyperlink ref="B9" r:id="rId1" xr:uid="{6F5AB4D0-D2CB-483F-9500-011F61B898E5}"/>
    <hyperlink ref="B10" r:id="rId2" xr:uid="{BD04841B-B1E9-4C92-90D3-1EAC9611B77F}"/>
    <hyperlink ref="B3" r:id="rId3" xr:uid="{04EF957F-DD75-4D57-827C-088619B579AC}"/>
    <hyperlink ref="B4" r:id="rId4" xr:uid="{DE1D7520-A2C3-47EA-A880-CB31E430E3F3}"/>
    <hyperlink ref="B5" r:id="rId5" xr:uid="{6B3F76B2-FB9D-4995-ABA5-DBB829F29325}"/>
    <hyperlink ref="B6" r:id="rId6" xr:uid="{B71A4BEB-1874-402D-9230-246F09A4F941}"/>
    <hyperlink ref="B7" r:id="rId7" xr:uid="{BEFFD3DA-A76C-47AE-A468-C4405C068FB8}"/>
    <hyperlink ref="B8" r:id="rId8" xr:uid="{5BD1B152-7503-427D-9875-5D2C0BC32745}"/>
  </hyperlinks>
  <pageMargins left="0.7" right="0.7" top="0.75" bottom="0.75" header="0.3" footer="0.3"/>
  <pageSetup paperSize="9" orientation="portrait" horizontalDpi="150" verticalDpi="150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D359-B38C-4DCC-A714-6B53E526AD8E}">
  <dimension ref="B1:AC52"/>
  <sheetViews>
    <sheetView workbookViewId="0">
      <selection activeCell="C8" sqref="C8"/>
    </sheetView>
  </sheetViews>
  <sheetFormatPr defaultRowHeight="16.5" x14ac:dyDescent="0.3"/>
  <cols>
    <col min="1" max="1" width="1.375" customWidth="1"/>
    <col min="3" max="3" width="10.875" bestFit="1" customWidth="1"/>
    <col min="4" max="4" width="11.75" bestFit="1" customWidth="1"/>
    <col min="6" max="6" width="1.125" customWidth="1"/>
    <col min="8" max="8" width="10.75" bestFit="1" customWidth="1"/>
    <col min="9" max="9" width="12.375" bestFit="1" customWidth="1"/>
    <col min="11" max="11" width="1" customWidth="1"/>
    <col min="13" max="13" width="9.25" bestFit="1" customWidth="1"/>
    <col min="14" max="14" width="12" bestFit="1" customWidth="1"/>
    <col min="16" max="16" width="1" customWidth="1"/>
    <col min="17" max="17" width="10.875" bestFit="1" customWidth="1"/>
    <col min="18" max="18" width="15.375" bestFit="1" customWidth="1"/>
    <col min="19" max="20" width="10.875" bestFit="1" customWidth="1"/>
    <col min="21" max="21" width="9.375" bestFit="1" customWidth="1"/>
    <col min="22" max="25" width="10.875" bestFit="1" customWidth="1"/>
    <col min="26" max="26" width="9.375" bestFit="1" customWidth="1"/>
    <col min="27" max="27" width="10.875" bestFit="1" customWidth="1"/>
    <col min="28" max="29" width="9.375" bestFit="1" customWidth="1"/>
  </cols>
  <sheetData>
    <row r="1" spans="2:29" ht="3.75" customHeight="1" x14ac:dyDescent="0.3"/>
    <row r="2" spans="2:29" x14ac:dyDescent="0.3">
      <c r="B2" s="10" t="s">
        <v>13</v>
      </c>
      <c r="C2" s="10" t="s">
        <v>45</v>
      </c>
      <c r="D2" s="10" t="s">
        <v>14</v>
      </c>
      <c r="E2" s="10" t="s">
        <v>46</v>
      </c>
      <c r="G2" s="10" t="s">
        <v>15</v>
      </c>
      <c r="H2" s="10" t="s">
        <v>45</v>
      </c>
      <c r="I2" s="10" t="s">
        <v>16</v>
      </c>
      <c r="J2" s="10" t="s">
        <v>46</v>
      </c>
      <c r="L2" s="10" t="s">
        <v>17</v>
      </c>
      <c r="M2" s="10" t="s">
        <v>45</v>
      </c>
      <c r="N2" s="10" t="s">
        <v>18</v>
      </c>
      <c r="O2" s="10" t="s">
        <v>46</v>
      </c>
      <c r="Q2" s="1"/>
      <c r="R2" s="1" t="s">
        <v>19</v>
      </c>
      <c r="S2" s="2">
        <v>2015</v>
      </c>
      <c r="T2" s="2">
        <v>2016</v>
      </c>
      <c r="U2" s="2">
        <v>2017</v>
      </c>
      <c r="V2" s="2">
        <v>2018</v>
      </c>
      <c r="W2" s="2">
        <v>2019</v>
      </c>
      <c r="X2" s="2">
        <v>2020</v>
      </c>
      <c r="Y2" s="2">
        <v>2021</v>
      </c>
      <c r="Z2" s="2">
        <v>2022</v>
      </c>
      <c r="AA2" s="2">
        <v>2023</v>
      </c>
      <c r="AB2" s="2">
        <v>2024</v>
      </c>
      <c r="AC2" s="2">
        <v>2025</v>
      </c>
    </row>
    <row r="3" spans="2:29" x14ac:dyDescent="0.3">
      <c r="B3" s="3">
        <v>2015</v>
      </c>
      <c r="C3" s="3">
        <v>49700</v>
      </c>
      <c r="D3" s="3" t="s">
        <v>20</v>
      </c>
      <c r="E3" s="4"/>
      <c r="G3" s="3">
        <v>2015</v>
      </c>
      <c r="H3" s="9">
        <v>60500</v>
      </c>
      <c r="I3" s="3" t="s">
        <v>23</v>
      </c>
      <c r="J3" s="4"/>
      <c r="L3" s="3">
        <v>2015</v>
      </c>
      <c r="M3" s="3">
        <v>39300</v>
      </c>
      <c r="N3" s="3" t="s">
        <v>24</v>
      </c>
      <c r="O3" s="4"/>
      <c r="Q3" s="5" t="str">
        <f>B2</f>
        <v>A 엔터</v>
      </c>
      <c r="R3" s="5" t="str">
        <f>D2</f>
        <v>에스엠</v>
      </c>
      <c r="S3" s="6" cm="1">
        <f t="array" ref="S3">INDEX($C:$C,COLUMN(S3)-COLUMN($S$3)+3)</f>
        <v>49700</v>
      </c>
      <c r="T3" s="6" cm="1">
        <f t="array" ref="T3">INDEX($C:$C,COLUMN(T3)-COLUMN($S$3)+3)</f>
        <v>23800</v>
      </c>
      <c r="U3" s="6" cm="1">
        <f t="array" ref="U3">INDEX($C:$C,COLUMN(U3)-COLUMN($S$3)+3)</f>
        <v>39150</v>
      </c>
      <c r="V3" s="6" cm="1">
        <f t="array" ref="V3">INDEX($C:$C,COLUMN(V3)-COLUMN($S$3)+3)</f>
        <v>156900</v>
      </c>
      <c r="W3" s="6" cm="1">
        <f t="array" ref="W3">INDEX($C:$C,COLUMN(W3)-COLUMN($S$3)+3)</f>
        <v>27000</v>
      </c>
      <c r="X3" s="6" cm="1">
        <f t="array" ref="X3">INDEX($C:$C,COLUMN(X3)-COLUMN($S$3)+3)</f>
        <v>16350</v>
      </c>
      <c r="Y3" s="6" cm="1">
        <f t="array" ref="Y3">INDEX($C:$C,COLUMN(Y3)-COLUMN($S$3)+3)</f>
        <v>85000</v>
      </c>
      <c r="Z3" s="6" cm="1">
        <f t="array" ref="Z3">INDEX($C:$C,COLUMN(Z3)-COLUMN($S$3)+3)</f>
        <v>90000</v>
      </c>
      <c r="AA3" s="6" cm="1">
        <f t="array" ref="AA3">INDEX($C:$C,COLUMN(AA3)-COLUMN($S$3)+3)</f>
        <v>161200</v>
      </c>
      <c r="AB3" s="6" cm="1">
        <f t="array" ref="AB3">INDEX($C:$C,COLUMN(AB3)-COLUMN($S$3)+3)</f>
        <v>55100</v>
      </c>
      <c r="AC3" s="6" cm="1">
        <f t="array" ref="AC3">INDEX($C:$C,COLUMN(AC3)-COLUMN($S$3)+3)</f>
        <v>82700</v>
      </c>
    </row>
    <row r="4" spans="2:29" x14ac:dyDescent="0.3">
      <c r="B4" s="3">
        <v>2016</v>
      </c>
      <c r="C4" s="3">
        <v>23800</v>
      </c>
      <c r="D4" s="3" t="s">
        <v>20</v>
      </c>
      <c r="E4" s="7">
        <f>(C4-C3)/C3</f>
        <v>-0.52112676056338025</v>
      </c>
      <c r="G4" s="3">
        <v>2016</v>
      </c>
      <c r="H4" s="8">
        <v>205000</v>
      </c>
      <c r="I4" s="3" t="s">
        <v>25</v>
      </c>
      <c r="J4" s="7">
        <f t="shared" ref="J4:J12" si="0">(H4-H3)/H3</f>
        <v>2.3884297520661155</v>
      </c>
      <c r="L4" s="3">
        <v>2016</v>
      </c>
      <c r="M4" s="3">
        <v>44700</v>
      </c>
      <c r="N4" s="3" t="s">
        <v>22</v>
      </c>
      <c r="O4" s="7">
        <f t="shared" ref="O4:O12" si="1">(M4-M3)/M3</f>
        <v>0.13740458015267176</v>
      </c>
      <c r="Q4" s="5" t="str">
        <f>G2</f>
        <v>B 여행</v>
      </c>
      <c r="R4" s="5" t="str">
        <f>I2</f>
        <v>하나투어</v>
      </c>
      <c r="S4" s="6" cm="1">
        <f t="array" ref="S4">INDEX($H:$H,COLUMN(S3)-COLUMN($S$3)+3)</f>
        <v>60500</v>
      </c>
      <c r="T4" s="6" cm="1">
        <f t="array" ref="T4">INDEX($H:$H,COLUMN(T3)-COLUMN($S$3)+3)</f>
        <v>205000</v>
      </c>
      <c r="U4" s="6" cm="1">
        <f t="array" ref="U4">INDEX($H:$H,COLUMN(U3)-COLUMN($S$3)+3)</f>
        <v>62500</v>
      </c>
      <c r="V4" s="6" cm="1">
        <f t="array" ref="V4">INDEX($H:$H,COLUMN(V3)-COLUMN($S$3)+3)</f>
        <v>55900</v>
      </c>
      <c r="W4" s="6" cm="1">
        <f t="array" ref="W4">INDEX($H:$H,COLUMN(W3)-COLUMN($S$3)+3)</f>
        <v>76400</v>
      </c>
      <c r="X4" s="6" cm="1">
        <f t="array" ref="X4">INDEX($H:$H,COLUMN(X3)-COLUMN($S$3)+3)</f>
        <v>26600</v>
      </c>
      <c r="Y4" s="6" cm="1">
        <f t="array" ref="Y4">INDEX($H:$H,COLUMN(Y3)-COLUMN($S$3)+3)</f>
        <v>94300</v>
      </c>
      <c r="Z4" s="6" cm="1">
        <f t="array" ref="Z4">INDEX($H:$H,COLUMN(Z3)-COLUMN($S$3)+3)</f>
        <v>47150</v>
      </c>
      <c r="AA4" s="6" cm="1">
        <f t="array" ref="AA4">INDEX($H:$H,COLUMN(AA3)-COLUMN($S$3)+3)</f>
        <v>53000</v>
      </c>
      <c r="AB4" s="6" cm="1">
        <f t="array" ref="AB4">INDEX($H:$H,COLUMN(AB3)-COLUMN($S$3)+3)</f>
        <v>270600</v>
      </c>
      <c r="AC4" s="6" cm="1">
        <f t="array" ref="AC4">INDEX($H:$H,COLUMN(AC3)-COLUMN($S$3)+3)</f>
        <v>58600</v>
      </c>
    </row>
    <row r="5" spans="2:29" x14ac:dyDescent="0.3">
      <c r="B5" s="3">
        <v>2017</v>
      </c>
      <c r="C5" s="3">
        <v>39150</v>
      </c>
      <c r="D5" s="3" t="s">
        <v>22</v>
      </c>
      <c r="E5" s="7">
        <f t="shared" ref="E5:E12" si="2">(C5-C4)/C4</f>
        <v>0.64495798319327735</v>
      </c>
      <c r="G5" s="3">
        <v>2017</v>
      </c>
      <c r="H5" s="3">
        <v>62500</v>
      </c>
      <c r="I5" s="3" t="s">
        <v>26</v>
      </c>
      <c r="J5" s="7">
        <f t="shared" si="0"/>
        <v>-0.69512195121951215</v>
      </c>
      <c r="L5" s="3">
        <v>2017</v>
      </c>
      <c r="M5" s="3">
        <v>109500</v>
      </c>
      <c r="N5" s="3" t="s">
        <v>22</v>
      </c>
      <c r="O5" s="7">
        <f t="shared" si="1"/>
        <v>1.4496644295302012</v>
      </c>
      <c r="Q5" s="5" t="str">
        <f>L2</f>
        <v>C IT</v>
      </c>
      <c r="R5" s="5" t="str">
        <f>N2</f>
        <v>LG전자</v>
      </c>
      <c r="S5" s="6" cm="1">
        <f t="array" ref="S5">INDEX($M:$M,COLUMN(S3)-COLUMN($S$3)+3)</f>
        <v>39300</v>
      </c>
      <c r="T5" s="6" cm="1">
        <f t="array" ref="T5">INDEX($M:$M,COLUMN(T3)-COLUMN($S$3)+3)</f>
        <v>44700</v>
      </c>
      <c r="U5" s="6" cm="1">
        <f t="array" ref="U5">INDEX($M:$M,COLUMN(U3)-COLUMN($S$3)+3)</f>
        <v>109500</v>
      </c>
      <c r="V5" s="6" cm="1">
        <f t="array" ref="V5">INDEX($M:$M,COLUMN(V3)-COLUMN($S$3)+3)</f>
        <v>58800</v>
      </c>
      <c r="W5" s="6" cm="1">
        <f t="array" ref="W5">INDEX($M:$M,COLUMN(W3)-COLUMN($S$3)+3)</f>
        <v>58500</v>
      </c>
      <c r="X5" s="6" cm="1">
        <f t="array" ref="X5">INDEX($M:$M,COLUMN(X3)-COLUMN($S$3)+3)</f>
        <v>236500</v>
      </c>
      <c r="Y5" s="6" cm="1">
        <f t="array" ref="Y5">INDEX($M:$M,COLUMN(Y3)-COLUMN($S$3)+3)</f>
        <v>115000</v>
      </c>
      <c r="Z5" s="6" cm="1">
        <f t="array" ref="Z5">INDEX($M:$M,COLUMN(Z3)-COLUMN($S$3)+3)</f>
        <v>77200</v>
      </c>
      <c r="AA5" s="6" cm="1">
        <f t="array" ref="AA5">INDEX($M:$M,COLUMN(AA3)-COLUMN($S$3)+3)</f>
        <v>132400</v>
      </c>
      <c r="AB5" s="6" cm="1">
        <f t="array" ref="AB5">INDEX($M:$M,COLUMN(AB3)-COLUMN($S$3)+3)</f>
        <v>86500</v>
      </c>
      <c r="AC5" s="6" cm="1">
        <f t="array" ref="AC5">INDEX($M:$M,COLUMN(AC3)-COLUMN($S$3)+3)</f>
        <v>832000</v>
      </c>
    </row>
    <row r="6" spans="2:29" x14ac:dyDescent="0.3">
      <c r="B6" s="3">
        <v>2018</v>
      </c>
      <c r="C6" s="8">
        <v>156900</v>
      </c>
      <c r="D6" s="3" t="s">
        <v>20</v>
      </c>
      <c r="E6" s="7">
        <f t="shared" si="2"/>
        <v>3.0076628352490422</v>
      </c>
      <c r="G6" s="3">
        <v>2018</v>
      </c>
      <c r="H6" s="3">
        <v>55900</v>
      </c>
      <c r="I6" s="3" t="s">
        <v>25</v>
      </c>
      <c r="J6" s="7">
        <f t="shared" si="0"/>
        <v>-0.1056</v>
      </c>
      <c r="L6" s="3">
        <v>2018</v>
      </c>
      <c r="M6" s="3">
        <v>58800</v>
      </c>
      <c r="N6" s="3" t="s">
        <v>25</v>
      </c>
      <c r="O6" s="7">
        <f t="shared" si="1"/>
        <v>-0.46301369863013697</v>
      </c>
      <c r="Q6" s="5" t="str">
        <f>B15</f>
        <v>D 바이오</v>
      </c>
      <c r="R6" s="5" t="str">
        <f>D15</f>
        <v>셀트리온</v>
      </c>
      <c r="S6" s="6" cm="1">
        <f t="array" ref="S6">INDEX($C:$C,COLUMN(S6)-COLUMN($S$6)+16)</f>
        <v>35000</v>
      </c>
      <c r="T6" s="6" cm="1">
        <f t="array" ref="T6">INDEX($C:$C,COLUMN(T6)-COLUMN($S$6)+16)</f>
        <v>108000</v>
      </c>
      <c r="U6" s="6" cm="1">
        <f t="array" ref="U6">INDEX($C:$C,COLUMN(U6)-COLUMN($S$6)+16)</f>
        <v>196000</v>
      </c>
      <c r="V6" s="6" cm="1">
        <f t="array" ref="V6">INDEX($C:$C,COLUMN(V6)-COLUMN($S$6)+16)</f>
        <v>374000</v>
      </c>
      <c r="W6" s="6" cm="1">
        <f t="array" ref="W6">INDEX($C:$C,COLUMN(W6)-COLUMN($S$6)+16)</f>
        <v>125000</v>
      </c>
      <c r="X6" s="6" cm="1">
        <f t="array" ref="X6">INDEX($C:$C,COLUMN(X6)-COLUMN($S$6)+16)</f>
        <v>565000</v>
      </c>
      <c r="Y6" s="6" cm="1">
        <f t="array" ref="Y6">INDEX($C:$C,COLUMN(Y6)-COLUMN($S$6)+16)</f>
        <v>185000</v>
      </c>
      <c r="Z6" s="6" cm="1">
        <f t="array" ref="Z6">INDEX($C:$C,COLUMN(Z6)-COLUMN($S$6)+16)</f>
        <v>131000</v>
      </c>
      <c r="AA6" s="6" cm="1">
        <f t="array" ref="AA6">INDEX($C:$C,COLUMN(AA6)-COLUMN($S$6)+16)</f>
        <v>203000</v>
      </c>
      <c r="AB6" s="6" cm="1">
        <f t="array" ref="AB6">INDEX($C:$C,COLUMN(AB6)-COLUMN($S$6)+16)</f>
        <v>215000</v>
      </c>
      <c r="AC6" s="6" cm="1">
        <f t="array" ref="AC6">INDEX($C:$C,COLUMN(AC6)-COLUMN($S$6)+16)</f>
        <v>144000</v>
      </c>
    </row>
    <row r="7" spans="2:29" x14ac:dyDescent="0.3">
      <c r="B7" s="3">
        <v>2019</v>
      </c>
      <c r="C7" s="3">
        <v>27000</v>
      </c>
      <c r="D7" s="3" t="s">
        <v>24</v>
      </c>
      <c r="E7" s="7">
        <f t="shared" si="2"/>
        <v>-0.82791586998087952</v>
      </c>
      <c r="G7" s="3">
        <v>2019</v>
      </c>
      <c r="H7" s="3">
        <v>76400</v>
      </c>
      <c r="I7" s="3" t="s">
        <v>22</v>
      </c>
      <c r="J7" s="7">
        <f t="shared" si="0"/>
        <v>0.36672629695885511</v>
      </c>
      <c r="L7" s="3">
        <v>2019</v>
      </c>
      <c r="M7" s="3">
        <v>58500</v>
      </c>
      <c r="N7" s="3" t="s">
        <v>24</v>
      </c>
      <c r="O7" s="7">
        <f t="shared" si="1"/>
        <v>-5.1020408163265302E-3</v>
      </c>
      <c r="Q7" s="5" t="str">
        <f>G15</f>
        <v>E 자동차</v>
      </c>
      <c r="R7" s="5" t="str">
        <f>I15</f>
        <v>현대차</v>
      </c>
      <c r="S7" s="6" cm="1">
        <f t="array" ref="S7">INDEX($H:$H,COLUMN(S6)-COLUMN($S$6)+16)</f>
        <v>123000</v>
      </c>
      <c r="T7" s="6" cm="1">
        <f t="array" ref="T7">INDEX($H:$H,COLUMN(T6)-COLUMN($S$6)+16)</f>
        <v>126500</v>
      </c>
      <c r="U7" s="6" cm="1">
        <f t="array" ref="U7">INDEX($H:$H,COLUMN(U6)-COLUMN($S$6)+16)</f>
        <v>133000</v>
      </c>
      <c r="V7" s="6" cm="1">
        <f t="array" ref="V7">INDEX($H:$H,COLUMN(V6)-COLUMN($S$6)+16)</f>
        <v>92500</v>
      </c>
      <c r="W7" s="6" cm="1">
        <f t="array" ref="W7">INDEX($H:$H,COLUMN(W6)-COLUMN($S$6)+16)</f>
        <v>143500</v>
      </c>
      <c r="X7" s="6" cm="1">
        <f t="array" ref="X7">INDEX($H:$H,COLUMN(X6)-COLUMN($S$6)+16)</f>
        <v>199000</v>
      </c>
      <c r="Y7" s="6" cm="1">
        <f t="array" ref="Y7">INDEX($H:$H,COLUMN(Y6)-COLUMN($S$6)+16)</f>
        <v>289000</v>
      </c>
      <c r="Z7" s="6" cm="1">
        <f t="array" ref="Z7">INDEX($H:$H,COLUMN(Z6)-COLUMN($S$6)+16)</f>
        <v>160000</v>
      </c>
      <c r="AA7" s="6" cm="1">
        <f t="array" ref="AA7">INDEX($H:$H,COLUMN(AA6)-COLUMN($S$6)+16)</f>
        <v>211500</v>
      </c>
      <c r="AB7" s="6" cm="1">
        <f t="array" ref="AB7">INDEX($H:$H,COLUMN(AB6)-COLUMN($S$6)+16)</f>
        <v>299500</v>
      </c>
      <c r="AC7" s="6" cm="1">
        <f t="array" ref="AC7">INDEX($H:$H,COLUMN(AC6)-COLUMN($S$6)+16)</f>
        <v>990000</v>
      </c>
    </row>
    <row r="8" spans="2:29" x14ac:dyDescent="0.3">
      <c r="B8" s="3">
        <v>2020</v>
      </c>
      <c r="C8" s="3">
        <v>16350</v>
      </c>
      <c r="D8" s="3" t="s">
        <v>27</v>
      </c>
      <c r="E8" s="7">
        <f t="shared" si="2"/>
        <v>-0.39444444444444443</v>
      </c>
      <c r="G8" s="3">
        <v>2020</v>
      </c>
      <c r="H8" s="3">
        <v>26600</v>
      </c>
      <c r="I8" s="3" t="s">
        <v>27</v>
      </c>
      <c r="J8" s="7">
        <f t="shared" si="0"/>
        <v>-0.65183246073298429</v>
      </c>
      <c r="L8" s="3">
        <v>2020</v>
      </c>
      <c r="M8" s="8">
        <v>236500</v>
      </c>
      <c r="N8" s="3" t="s">
        <v>22</v>
      </c>
      <c r="O8" s="7">
        <f t="shared" si="1"/>
        <v>3.0427350427350426</v>
      </c>
      <c r="Q8" s="5" t="str">
        <f>L15</f>
        <v>F 통신</v>
      </c>
      <c r="R8" s="5" t="str">
        <f>N15</f>
        <v>SK텔레콤</v>
      </c>
      <c r="S8" s="6" cm="1">
        <f t="array" ref="S8">INDEX($M:$M,COLUMN(S6)-COLUMN($S$6)+16)</f>
        <v>42800</v>
      </c>
      <c r="T8" s="6" cm="1">
        <f t="array" ref="T8">INDEX($M:$M,COLUMN(T6)-COLUMN($S$6)+16)</f>
        <v>38300</v>
      </c>
      <c r="U8" s="6" cm="1">
        <f t="array" ref="U8">INDEX($M:$M,COLUMN(U6)-COLUMN($S$6)+16)</f>
        <v>57600</v>
      </c>
      <c r="V8" s="6" cm="1">
        <f t="array" ref="V8">INDEX($M:$M,COLUMN(V6)-COLUMN($S$6)+16)</f>
        <v>58200</v>
      </c>
      <c r="W8" s="6" cm="1">
        <f t="array" ref="W8">INDEX($M:$M,COLUMN(W6)-COLUMN($S$6)+16)</f>
        <v>458000</v>
      </c>
      <c r="X8" s="6" cm="1">
        <f t="array" ref="X8">INDEX($M:$M,COLUMN(X6)-COLUMN($S$6)+16)</f>
        <v>50300</v>
      </c>
      <c r="Y8" s="6" cm="1">
        <f t="array" ref="Y8">INDEX($M:$M,COLUMN(Y6)-COLUMN($S$6)+16)</f>
        <v>47000</v>
      </c>
      <c r="Z8" s="6" cm="1">
        <f t="array" ref="Z8">INDEX($M:$M,COLUMN(Z6)-COLUMN($S$6)+16)</f>
        <v>61900</v>
      </c>
      <c r="AA8" s="6" cm="1">
        <f t="array" ref="AA8">INDEX($M:$M,COLUMN(AA6)-COLUMN($S$6)+16)</f>
        <v>43300</v>
      </c>
      <c r="AB8" s="6" cm="1">
        <f t="array" ref="AB8">INDEX($M:$M,COLUMN(AB6)-COLUMN($S$6)+16)</f>
        <v>61900</v>
      </c>
      <c r="AC8" s="6" cm="1">
        <f t="array" ref="AC8">INDEX($M:$M,COLUMN(AC6)-COLUMN($S$6)+16)</f>
        <v>75100</v>
      </c>
    </row>
    <row r="9" spans="2:29" x14ac:dyDescent="0.3">
      <c r="B9" s="3">
        <v>2021</v>
      </c>
      <c r="C9" s="3">
        <v>85000</v>
      </c>
      <c r="D9" s="3" t="s">
        <v>25</v>
      </c>
      <c r="E9" s="7">
        <f t="shared" si="2"/>
        <v>4.1987767584097861</v>
      </c>
      <c r="G9" s="3">
        <v>2021</v>
      </c>
      <c r="H9" s="3">
        <v>94300</v>
      </c>
      <c r="I9" s="3" t="s">
        <v>21</v>
      </c>
      <c r="J9" s="7">
        <f t="shared" si="0"/>
        <v>2.5451127819548871</v>
      </c>
      <c r="L9" s="3">
        <v>2021</v>
      </c>
      <c r="M9" s="3">
        <v>115000</v>
      </c>
      <c r="N9" s="3" t="s">
        <v>20</v>
      </c>
      <c r="O9" s="7">
        <f t="shared" si="1"/>
        <v>-0.51374207188160681</v>
      </c>
      <c r="Q9" s="5" t="str">
        <f>B28</f>
        <v>G 조선</v>
      </c>
      <c r="R9" s="5" t="str">
        <f>D28</f>
        <v>한국조선해양</v>
      </c>
      <c r="S9" s="6" cm="1">
        <f t="array" ref="S9">INDEX($C:$C,COLUMN(S6)-COLUMN($S$6)+29)</f>
        <v>80600</v>
      </c>
      <c r="T9" s="6" cm="1">
        <f t="array" ref="T9">INDEX($C:$C,COLUMN(T6)-COLUMN($S$6)+29)</f>
        <v>166000</v>
      </c>
      <c r="U9" s="6" cm="1">
        <f t="array" ref="U9">INDEX($C:$C,COLUMN(U6)-COLUMN($S$6)+29)</f>
        <v>187500</v>
      </c>
      <c r="V9" s="6" cm="1">
        <f t="array" ref="V9">INDEX($C:$C,COLUMN(V6)-COLUMN($S$6)+29)</f>
        <v>93700</v>
      </c>
      <c r="W9" s="6" cm="1">
        <f t="array" ref="W9">INDEX($C:$C,COLUMN(W6)-COLUMN($S$6)+29)</f>
        <v>93800</v>
      </c>
      <c r="X9" s="6" cm="1">
        <f t="array" ref="X9">INDEX($C:$C,COLUMN(X6)-COLUMN($S$6)+29)</f>
        <v>64200</v>
      </c>
      <c r="Y9" s="6" cm="1">
        <f t="array" ref="Y9">INDEX($C:$C,COLUMN(Y6)-COLUMN($S$6)+29)</f>
        <v>163500</v>
      </c>
      <c r="Z9" s="6" cm="1">
        <f t="array" ref="Z9">INDEX($C:$C,COLUMN(Z6)-COLUMN($S$6)+29)</f>
        <v>68600</v>
      </c>
      <c r="AA9" s="6" cm="1">
        <f t="array" ref="AA9">INDEX($C:$C,COLUMN(AA6)-COLUMN($S$6)+29)</f>
        <v>130000</v>
      </c>
      <c r="AB9" s="6" cm="1">
        <f t="array" ref="AB9">INDEX($C:$C,COLUMN(AB6)-COLUMN($S$6)+29)</f>
        <v>219000</v>
      </c>
      <c r="AC9" s="6" cm="1">
        <f t="array" ref="AC9">INDEX($C:$C,COLUMN(AC6)-COLUMN($S$6)+29)</f>
        <v>994500</v>
      </c>
    </row>
    <row r="10" spans="2:29" x14ac:dyDescent="0.3">
      <c r="B10" s="3">
        <v>2022</v>
      </c>
      <c r="C10" s="3">
        <v>90000</v>
      </c>
      <c r="D10" s="3" t="s">
        <v>28</v>
      </c>
      <c r="E10" s="7">
        <f t="shared" si="2"/>
        <v>5.8823529411764705E-2</v>
      </c>
      <c r="G10" s="3">
        <v>2022</v>
      </c>
      <c r="H10" s="3">
        <v>47150</v>
      </c>
      <c r="I10" s="3" t="s">
        <v>20</v>
      </c>
      <c r="J10" s="7">
        <f t="shared" si="0"/>
        <v>-0.5</v>
      </c>
      <c r="L10" s="3">
        <v>2022</v>
      </c>
      <c r="M10" s="3">
        <v>77200</v>
      </c>
      <c r="N10" s="3" t="s">
        <v>25</v>
      </c>
      <c r="O10" s="7">
        <f t="shared" si="1"/>
        <v>-0.32869565217391306</v>
      </c>
      <c r="Q10" s="5" t="str">
        <f>G28</f>
        <v>H 뷰티</v>
      </c>
      <c r="R10" s="5" t="str">
        <f>I28</f>
        <v>LG생활건강</v>
      </c>
      <c r="S10" s="6" cm="1">
        <f t="array" ref="S10">INDEX($H:$H,COLUMN(S6)-COLUMN($S$6)+29)</f>
        <v>1066000</v>
      </c>
      <c r="T10" s="6" cm="1">
        <f t="array" ref="T10">INDEX($H:$H,COLUMN(T6)-COLUMN($S$6)+29)</f>
        <v>740000</v>
      </c>
      <c r="U10" s="6" cm="1">
        <f t="array" ref="U10">INDEX($H:$H,COLUMN(U6)-COLUMN($S$6)+29)</f>
        <v>774000</v>
      </c>
      <c r="V10" s="6" cm="1">
        <f t="array" ref="V10">INDEX($H:$H,COLUMN(V6)-COLUMN($S$6)+29)</f>
        <v>1010000</v>
      </c>
      <c r="W10" s="6" cm="1">
        <f t="array" ref="W10">INDEX($H:$H,COLUMN(W6)-COLUMN($S$6)+29)</f>
        <v>1466000</v>
      </c>
      <c r="X10" s="6" cm="1">
        <f t="array" ref="X10">INDEX($H:$H,COLUMN(X6)-COLUMN($S$6)+29)</f>
        <v>3649000</v>
      </c>
      <c r="Y10" s="6" cm="1">
        <f t="array" ref="Y10">INDEX($H:$H,COLUMN(Y6)-COLUMN($S$6)+29)</f>
        <v>971000</v>
      </c>
      <c r="Z10" s="6" cm="1">
        <f t="array" ref="Z10">INDEX($H:$H,COLUMN(Z6)-COLUMN($S$6)+29)</f>
        <v>499500</v>
      </c>
      <c r="AA10" s="6" cm="1">
        <f t="array" ref="AA10">INDEX($H:$H,COLUMN(AA6)-COLUMN($S$6)+29)</f>
        <v>590000</v>
      </c>
      <c r="AB10" s="6" cm="1">
        <f t="array" ref="AB10">INDEX($H:$H,COLUMN(AB6)-COLUMN($S$6)+29)</f>
        <v>300000</v>
      </c>
      <c r="AC10" s="6" cm="1">
        <f t="array" ref="AC10">INDEX($H:$H,COLUMN(AC6)-COLUMN($S$6)+29)</f>
        <v>253500</v>
      </c>
    </row>
    <row r="11" spans="2:29" x14ac:dyDescent="0.3">
      <c r="B11" s="3">
        <v>2023</v>
      </c>
      <c r="C11" s="3">
        <v>161200</v>
      </c>
      <c r="D11" s="3" t="s">
        <v>27</v>
      </c>
      <c r="E11" s="7">
        <f t="shared" si="2"/>
        <v>0.7911111111111111</v>
      </c>
      <c r="G11" s="3">
        <v>2023</v>
      </c>
      <c r="H11" s="3">
        <v>53000</v>
      </c>
      <c r="I11" s="3" t="s">
        <v>24</v>
      </c>
      <c r="J11" s="7">
        <f t="shared" si="0"/>
        <v>0.12407211028632026</v>
      </c>
      <c r="L11" s="3">
        <v>2023</v>
      </c>
      <c r="M11" s="3">
        <v>132400</v>
      </c>
      <c r="N11" s="3" t="s">
        <v>23</v>
      </c>
      <c r="O11" s="7">
        <f t="shared" si="1"/>
        <v>0.71502590673575128</v>
      </c>
      <c r="Q11" s="5" t="str">
        <f>L28</f>
        <v>I 화학</v>
      </c>
      <c r="R11" s="5" t="str">
        <f>N28</f>
        <v>롯데케미칼</v>
      </c>
      <c r="S11" s="6" cm="1">
        <f t="array" ref="S11">INDEX($M:$M,COLUMN(S6)-COLUMN($S$6)+29)</f>
        <v>305000</v>
      </c>
      <c r="T11" s="6" cm="1">
        <f t="array" ref="T11">INDEX($M:$M,COLUMN(T6)-COLUMN($S$6)+29)</f>
        <v>370000</v>
      </c>
      <c r="U11" s="6" cm="1">
        <f t="array" ref="U11">INDEX($M:$M,COLUMN(U6)-COLUMN($S$6)+29)</f>
        <v>422000</v>
      </c>
      <c r="V11" s="6" cm="1">
        <f t="array" ref="V11">INDEX($M:$M,COLUMN(V6)-COLUMN($S$6)+29)</f>
        <v>247000</v>
      </c>
      <c r="W11" s="6" cm="1">
        <f t="array" ref="W11">INDEX($M:$M,COLUMN(W6)-COLUMN($S$6)+29)</f>
        <v>207500</v>
      </c>
      <c r="X11" s="6" cm="1">
        <f t="array" ref="X11">INDEX($M:$M,COLUMN(X6)-COLUMN($S$6)+29)</f>
        <v>114500</v>
      </c>
      <c r="Y11" s="6" cm="1">
        <f t="array" ref="Y11">INDEX($M:$M,COLUMN(Y6)-COLUMN($S$6)+29)</f>
        <v>538000</v>
      </c>
      <c r="Z11" s="6" cm="1">
        <f t="array" ref="Z11">INDEX($M:$M,COLUMN(Z6)-COLUMN($S$6)+29)</f>
        <v>134303</v>
      </c>
      <c r="AA11" s="6" cm="1">
        <f t="array" ref="AA11">INDEX($M:$M,COLUMN(AA6)-COLUMN($S$6)+29)</f>
        <v>189700</v>
      </c>
      <c r="AB11" s="6" cm="1">
        <f t="array" ref="AB11">INDEX($M:$M,COLUMN(AB6)-COLUMN($S$6)+29)</f>
        <v>62200</v>
      </c>
      <c r="AC11" s="6" cm="1">
        <f t="array" ref="AC11">INDEX($M:$M,COLUMN(AC6)-COLUMN($S$6)+29)</f>
        <v>51800</v>
      </c>
    </row>
    <row r="12" spans="2:29" x14ac:dyDescent="0.3">
      <c r="B12" s="3">
        <v>2024</v>
      </c>
      <c r="C12" s="3">
        <v>55100</v>
      </c>
      <c r="D12" s="3" t="s">
        <v>29</v>
      </c>
      <c r="E12" s="7">
        <f t="shared" si="2"/>
        <v>-0.65818858560794047</v>
      </c>
      <c r="G12" s="3">
        <v>2024</v>
      </c>
      <c r="H12" s="8">
        <v>270600</v>
      </c>
      <c r="I12" s="3" t="s">
        <v>28</v>
      </c>
      <c r="J12" s="7">
        <f t="shared" si="0"/>
        <v>4.1056603773584905</v>
      </c>
      <c r="L12" s="3">
        <v>2024</v>
      </c>
      <c r="M12" s="3">
        <v>86500</v>
      </c>
      <c r="N12" s="3" t="s">
        <v>24</v>
      </c>
      <c r="O12" s="7">
        <f t="shared" si="1"/>
        <v>-0.34667673716012087</v>
      </c>
      <c r="Q12" s="5" t="str">
        <f>B41</f>
        <v>J 식품</v>
      </c>
      <c r="R12" s="5" t="str">
        <f>D41</f>
        <v>KT&amp;G</v>
      </c>
      <c r="S12" s="6" cm="1">
        <f t="array" ref="S12">INDEX($C:$C,COLUMN(S6)-COLUMN($S$6)+42)</f>
        <v>120500</v>
      </c>
      <c r="T12" s="6" cm="1">
        <f t="array" ref="T12">INDEX($C:$C,COLUMN(T6)-COLUMN($S$6)+42)</f>
        <v>139500</v>
      </c>
      <c r="U12" s="6" cm="1">
        <f t="array" ref="U12">INDEX($C:$C,COLUMN(U6)-COLUMN($S$6)+42)</f>
        <v>94900</v>
      </c>
      <c r="V12" s="6" cm="1">
        <f t="array" ref="V12">INDEX($C:$C,COLUMN(V6)-COLUMN($S$6)+42)</f>
        <v>95500</v>
      </c>
      <c r="W12" s="6" cm="1">
        <f t="array" ref="W12">INDEX($C:$C,COLUMN(W6)-COLUMN($S$6)+42)</f>
        <v>93700</v>
      </c>
      <c r="X12" s="6" cm="1">
        <f t="array" ref="X12">INDEX($C:$C,COLUMN(X6)-COLUMN($S$6)+42)</f>
        <v>98100</v>
      </c>
      <c r="Y12" s="6" cm="1">
        <f t="array" ref="Y12">INDEX($C:$C,COLUMN(Y6)-COLUMN($S$6)+42)</f>
        <v>78000</v>
      </c>
      <c r="Z12" s="6" cm="1">
        <f t="array" ref="Z12">INDEX($C:$C,COLUMN(Z6)-COLUMN($S$6)+42)</f>
        <v>300000</v>
      </c>
      <c r="AA12" s="6" cm="1">
        <f t="array" ref="AA12">INDEX($C:$C,COLUMN(AA6)-COLUMN($S$6)+42)</f>
        <v>81500</v>
      </c>
      <c r="AB12" s="6" cm="1">
        <f t="array" ref="AB12">INDEX($C:$C,COLUMN(AB6)-COLUMN($S$6)+42)</f>
        <v>126400</v>
      </c>
      <c r="AC12" s="6" cm="1">
        <f t="array" ref="AC12">INDEX($C:$C,COLUMN(AC6)-COLUMN($S$6)+42)</f>
        <v>557800</v>
      </c>
    </row>
    <row r="13" spans="2:29" x14ac:dyDescent="0.3">
      <c r="B13" s="3">
        <v>2025</v>
      </c>
      <c r="C13" s="3">
        <v>82700</v>
      </c>
      <c r="D13" s="3" t="s">
        <v>35</v>
      </c>
      <c r="E13" s="7">
        <f>(C13-C12)/C12</f>
        <v>0.50090744101633389</v>
      </c>
      <c r="G13" s="3">
        <v>2025</v>
      </c>
      <c r="H13" s="3">
        <v>58600</v>
      </c>
      <c r="I13" s="3" t="s">
        <v>35</v>
      </c>
      <c r="J13" s="7">
        <f>(H13-H12)/H12</f>
        <v>-0.78344419807834442</v>
      </c>
      <c r="L13" s="3">
        <v>2025</v>
      </c>
      <c r="M13" s="8">
        <v>832000</v>
      </c>
      <c r="N13" s="3" t="s">
        <v>28</v>
      </c>
      <c r="O13" s="7">
        <f>(M13-M12)/M12</f>
        <v>8.6184971098265901</v>
      </c>
    </row>
    <row r="15" spans="2:29" x14ac:dyDescent="0.3">
      <c r="B15" s="10" t="s">
        <v>30</v>
      </c>
      <c r="C15" s="10" t="s">
        <v>45</v>
      </c>
      <c r="D15" s="10" t="s">
        <v>47</v>
      </c>
      <c r="E15" s="10" t="s">
        <v>46</v>
      </c>
      <c r="G15" s="10" t="s">
        <v>31</v>
      </c>
      <c r="H15" s="10" t="s">
        <v>45</v>
      </c>
      <c r="I15" s="10" t="s">
        <v>32</v>
      </c>
      <c r="J15" s="10" t="s">
        <v>46</v>
      </c>
      <c r="L15" s="10" t="s">
        <v>33</v>
      </c>
      <c r="M15" s="10" t="s">
        <v>45</v>
      </c>
      <c r="N15" s="10" t="s">
        <v>34</v>
      </c>
      <c r="O15" s="10" t="s">
        <v>46</v>
      </c>
    </row>
    <row r="16" spans="2:29" x14ac:dyDescent="0.3">
      <c r="B16" s="3">
        <v>2015</v>
      </c>
      <c r="C16" s="3">
        <v>35000</v>
      </c>
      <c r="D16" s="3" t="s">
        <v>22</v>
      </c>
      <c r="E16" s="4"/>
      <c r="G16" s="3">
        <v>2015</v>
      </c>
      <c r="H16" s="3">
        <v>123000</v>
      </c>
      <c r="I16" s="3" t="s">
        <v>23</v>
      </c>
      <c r="J16" s="4"/>
      <c r="L16" s="3">
        <v>2015</v>
      </c>
      <c r="M16" s="3">
        <v>42800</v>
      </c>
      <c r="N16" s="3" t="s">
        <v>22</v>
      </c>
      <c r="O16" s="4"/>
    </row>
    <row r="17" spans="2:15" x14ac:dyDescent="0.3">
      <c r="B17" s="3">
        <v>2016</v>
      </c>
      <c r="C17" s="3">
        <v>108000</v>
      </c>
      <c r="D17" s="3" t="s">
        <v>20</v>
      </c>
      <c r="E17" s="7">
        <f t="shared" ref="E17:E25" si="3">(C17-C16)/C16</f>
        <v>2.0857142857142859</v>
      </c>
      <c r="G17" s="3">
        <v>2016</v>
      </c>
      <c r="H17" s="3">
        <v>126500</v>
      </c>
      <c r="I17" s="3" t="s">
        <v>35</v>
      </c>
      <c r="J17" s="7">
        <f t="shared" ref="J17:J25" si="4">(H17-H16)/H16</f>
        <v>2.8455284552845527E-2</v>
      </c>
      <c r="L17" s="3">
        <v>2016</v>
      </c>
      <c r="M17" s="3">
        <v>38300</v>
      </c>
      <c r="N17" s="3" t="s">
        <v>26</v>
      </c>
      <c r="O17" s="7">
        <f t="shared" ref="O17:O25" si="5">(M17-M16)/M16</f>
        <v>-0.10514018691588785</v>
      </c>
    </row>
    <row r="18" spans="2:15" x14ac:dyDescent="0.3">
      <c r="B18" s="3">
        <v>2017</v>
      </c>
      <c r="C18" s="3">
        <v>196000</v>
      </c>
      <c r="D18" s="3" t="s">
        <v>20</v>
      </c>
      <c r="E18" s="7">
        <f t="shared" si="3"/>
        <v>0.81481481481481477</v>
      </c>
      <c r="G18" s="3">
        <v>2017</v>
      </c>
      <c r="H18" s="3">
        <v>133000</v>
      </c>
      <c r="I18" s="3" t="s">
        <v>29</v>
      </c>
      <c r="J18" s="7">
        <f t="shared" si="4"/>
        <v>5.1383399209486168E-2</v>
      </c>
      <c r="L18" s="3">
        <v>2017</v>
      </c>
      <c r="M18" s="3">
        <v>57600</v>
      </c>
      <c r="N18" s="3" t="s">
        <v>24</v>
      </c>
      <c r="O18" s="7">
        <f t="shared" si="5"/>
        <v>0.50391644908616184</v>
      </c>
    </row>
    <row r="19" spans="2:15" x14ac:dyDescent="0.3">
      <c r="B19" s="3">
        <v>2018</v>
      </c>
      <c r="C19" s="3">
        <v>374000</v>
      </c>
      <c r="D19" s="3" t="s">
        <v>25</v>
      </c>
      <c r="E19" s="7">
        <f t="shared" si="3"/>
        <v>0.90816326530612246</v>
      </c>
      <c r="G19" s="3">
        <v>2018</v>
      </c>
      <c r="H19" s="3">
        <v>92500</v>
      </c>
      <c r="I19" s="3" t="s">
        <v>20</v>
      </c>
      <c r="J19" s="7">
        <f t="shared" si="4"/>
        <v>-0.30451127819548873</v>
      </c>
      <c r="L19" s="3">
        <v>2018</v>
      </c>
      <c r="M19" s="3">
        <v>58200</v>
      </c>
      <c r="N19" s="3" t="s">
        <v>20</v>
      </c>
      <c r="O19" s="7">
        <f t="shared" si="5"/>
        <v>1.0416666666666666E-2</v>
      </c>
    </row>
    <row r="20" spans="2:15" x14ac:dyDescent="0.3">
      <c r="B20" s="3">
        <v>2019</v>
      </c>
      <c r="C20" s="3">
        <v>125000</v>
      </c>
      <c r="D20" s="3" t="s">
        <v>25</v>
      </c>
      <c r="E20" s="7">
        <f t="shared" si="3"/>
        <v>-0.66577540106951871</v>
      </c>
      <c r="G20" s="3">
        <v>2019</v>
      </c>
      <c r="H20" s="3">
        <v>143500</v>
      </c>
      <c r="I20" s="3" t="s">
        <v>21</v>
      </c>
      <c r="J20" s="7">
        <f t="shared" si="4"/>
        <v>0.55135135135135138</v>
      </c>
      <c r="L20" s="3">
        <v>2019</v>
      </c>
      <c r="M20" s="8">
        <v>458000</v>
      </c>
      <c r="N20" s="3" t="s">
        <v>24</v>
      </c>
      <c r="O20" s="7">
        <f t="shared" si="5"/>
        <v>6.869415807560137</v>
      </c>
    </row>
    <row r="21" spans="2:15" x14ac:dyDescent="0.3">
      <c r="B21" s="3">
        <v>2020</v>
      </c>
      <c r="C21" s="8">
        <v>565000</v>
      </c>
      <c r="D21" s="3" t="s">
        <v>22</v>
      </c>
      <c r="E21" s="7">
        <f t="shared" si="3"/>
        <v>3.52</v>
      </c>
      <c r="G21" s="3">
        <v>2020</v>
      </c>
      <c r="H21" s="3">
        <v>199000</v>
      </c>
      <c r="I21" s="3" t="s">
        <v>22</v>
      </c>
      <c r="J21" s="7">
        <f t="shared" si="4"/>
        <v>0.38675958188153309</v>
      </c>
      <c r="L21" s="3">
        <v>2020</v>
      </c>
      <c r="M21" s="3">
        <v>50300</v>
      </c>
      <c r="N21" s="3" t="s">
        <v>24</v>
      </c>
      <c r="O21" s="7">
        <f t="shared" si="5"/>
        <v>-0.890174672489083</v>
      </c>
    </row>
    <row r="22" spans="2:15" x14ac:dyDescent="0.3">
      <c r="B22" s="3">
        <v>2021</v>
      </c>
      <c r="C22" s="3">
        <v>185000</v>
      </c>
      <c r="D22" s="3" t="s">
        <v>22</v>
      </c>
      <c r="E22" s="7">
        <f t="shared" si="3"/>
        <v>-0.67256637168141598</v>
      </c>
      <c r="G22" s="3">
        <v>2021</v>
      </c>
      <c r="H22" s="3">
        <v>289000</v>
      </c>
      <c r="I22" s="3" t="s">
        <v>26</v>
      </c>
      <c r="J22" s="7">
        <f t="shared" si="4"/>
        <v>0.45226130653266333</v>
      </c>
      <c r="L22" s="3">
        <v>2021</v>
      </c>
      <c r="M22" s="3">
        <v>47000</v>
      </c>
      <c r="N22" s="3" t="s">
        <v>26</v>
      </c>
      <c r="O22" s="7">
        <f t="shared" si="5"/>
        <v>-6.560636182902585E-2</v>
      </c>
    </row>
    <row r="23" spans="2:15" x14ac:dyDescent="0.3">
      <c r="B23" s="3">
        <v>2022</v>
      </c>
      <c r="C23" s="3">
        <v>131000</v>
      </c>
      <c r="D23" s="3" t="s">
        <v>27</v>
      </c>
      <c r="E23" s="7">
        <f t="shared" si="3"/>
        <v>-0.29189189189189191</v>
      </c>
      <c r="G23" s="3">
        <v>2022</v>
      </c>
      <c r="H23" s="3">
        <v>160000</v>
      </c>
      <c r="I23" s="3" t="s">
        <v>20</v>
      </c>
      <c r="J23" s="7">
        <f t="shared" si="4"/>
        <v>-0.44636678200692043</v>
      </c>
      <c r="L23" s="3">
        <v>2022</v>
      </c>
      <c r="M23" s="3">
        <v>61900</v>
      </c>
      <c r="N23" s="3" t="s">
        <v>28</v>
      </c>
      <c r="O23" s="7">
        <f t="shared" si="5"/>
        <v>0.31702127659574469</v>
      </c>
    </row>
    <row r="24" spans="2:15" x14ac:dyDescent="0.3">
      <c r="B24" s="3">
        <v>2023</v>
      </c>
      <c r="C24" s="9">
        <v>203000</v>
      </c>
      <c r="D24" s="3" t="s">
        <v>28</v>
      </c>
      <c r="E24" s="7">
        <f t="shared" si="3"/>
        <v>0.54961832061068705</v>
      </c>
      <c r="G24" s="3">
        <v>2023</v>
      </c>
      <c r="H24" s="3">
        <v>211500</v>
      </c>
      <c r="I24" s="3" t="s">
        <v>36</v>
      </c>
      <c r="J24" s="7">
        <f t="shared" si="4"/>
        <v>0.32187500000000002</v>
      </c>
      <c r="L24" s="3">
        <v>2023</v>
      </c>
      <c r="M24" s="3">
        <v>43300</v>
      </c>
      <c r="N24" s="3" t="s">
        <v>23</v>
      </c>
      <c r="O24" s="7">
        <f t="shared" si="5"/>
        <v>-0.30048465266558966</v>
      </c>
    </row>
    <row r="25" spans="2:15" x14ac:dyDescent="0.3">
      <c r="B25" s="3">
        <v>2024</v>
      </c>
      <c r="C25" s="3">
        <v>215000</v>
      </c>
      <c r="D25" s="3" t="s">
        <v>22</v>
      </c>
      <c r="E25" s="7">
        <f t="shared" si="3"/>
        <v>5.9113300492610835E-2</v>
      </c>
      <c r="G25" s="3">
        <v>2024</v>
      </c>
      <c r="H25" s="3">
        <v>299500</v>
      </c>
      <c r="I25" s="3" t="s">
        <v>23</v>
      </c>
      <c r="J25" s="7">
        <f t="shared" si="4"/>
        <v>0.4160756501182033</v>
      </c>
      <c r="L25" s="3">
        <v>2024</v>
      </c>
      <c r="M25" s="3">
        <v>61900</v>
      </c>
      <c r="N25" s="3" t="s">
        <v>22</v>
      </c>
      <c r="O25" s="7">
        <f t="shared" si="5"/>
        <v>0.42956120092378752</v>
      </c>
    </row>
    <row r="26" spans="2:15" x14ac:dyDescent="0.3">
      <c r="B26" s="3">
        <v>2025</v>
      </c>
      <c r="C26" s="3">
        <v>144000</v>
      </c>
      <c r="D26" s="3" t="s">
        <v>36</v>
      </c>
      <c r="E26" s="7">
        <f>(C26-C25)/C25</f>
        <v>-0.33023255813953489</v>
      </c>
      <c r="G26" s="3">
        <v>2025</v>
      </c>
      <c r="H26" s="8">
        <v>990000</v>
      </c>
      <c r="I26" s="3" t="s">
        <v>22</v>
      </c>
      <c r="J26" s="7">
        <f>(H26-H25)/H25</f>
        <v>2.30550918196995</v>
      </c>
      <c r="L26" s="3">
        <v>2025</v>
      </c>
      <c r="M26" s="3">
        <v>75100</v>
      </c>
      <c r="N26" s="3" t="s">
        <v>22</v>
      </c>
      <c r="O26" s="7">
        <f>(M26-M25)/M25</f>
        <v>0.21324717285945072</v>
      </c>
    </row>
    <row r="28" spans="2:15" x14ac:dyDescent="0.3">
      <c r="B28" s="10" t="s">
        <v>37</v>
      </c>
      <c r="C28" s="10" t="s">
        <v>45</v>
      </c>
      <c r="D28" s="10" t="s">
        <v>38</v>
      </c>
      <c r="E28" s="10" t="s">
        <v>46</v>
      </c>
      <c r="G28" s="10" t="s">
        <v>39</v>
      </c>
      <c r="H28" s="10" t="s">
        <v>45</v>
      </c>
      <c r="I28" s="10" t="s">
        <v>40</v>
      </c>
      <c r="J28" s="10" t="s">
        <v>46</v>
      </c>
      <c r="L28" s="10" t="s">
        <v>41</v>
      </c>
      <c r="M28" s="10" t="s">
        <v>45</v>
      </c>
      <c r="N28" s="10" t="s">
        <v>42</v>
      </c>
      <c r="O28" s="10" t="s">
        <v>46</v>
      </c>
    </row>
    <row r="29" spans="2:15" x14ac:dyDescent="0.3">
      <c r="B29" s="3">
        <v>2015</v>
      </c>
      <c r="C29" s="3">
        <v>80600</v>
      </c>
      <c r="D29" s="3" t="s">
        <v>24</v>
      </c>
      <c r="E29" s="4"/>
      <c r="G29" s="3">
        <v>2015</v>
      </c>
      <c r="H29" s="3">
        <v>1066000</v>
      </c>
      <c r="I29" s="3" t="s">
        <v>22</v>
      </c>
      <c r="J29" s="4"/>
      <c r="L29" s="3">
        <v>2015</v>
      </c>
      <c r="M29" s="3">
        <v>305000</v>
      </c>
      <c r="N29" s="3" t="s">
        <v>21</v>
      </c>
      <c r="O29" s="4"/>
    </row>
    <row r="30" spans="2:15" x14ac:dyDescent="0.3">
      <c r="B30" s="3">
        <v>2016</v>
      </c>
      <c r="C30" s="3">
        <v>166000</v>
      </c>
      <c r="D30" s="3" t="s">
        <v>20</v>
      </c>
      <c r="E30" s="7">
        <f t="shared" ref="E30:E38" si="6">(C30-C29)/C29</f>
        <v>1.0595533498759304</v>
      </c>
      <c r="G30" s="3">
        <v>2016</v>
      </c>
      <c r="H30" s="3">
        <v>740000</v>
      </c>
      <c r="I30" s="3" t="s">
        <v>20</v>
      </c>
      <c r="J30" s="7">
        <f t="shared" ref="J30:J38" si="7">(H30-H29)/H29</f>
        <v>-0.30581613508442779</v>
      </c>
      <c r="L30" s="3">
        <v>2016</v>
      </c>
      <c r="M30" s="3">
        <v>370000</v>
      </c>
      <c r="N30" s="3" t="s">
        <v>22</v>
      </c>
      <c r="O30" s="7">
        <f t="shared" ref="O30:O38" si="8">(M30-M29)/M29</f>
        <v>0.21311475409836064</v>
      </c>
    </row>
    <row r="31" spans="2:15" x14ac:dyDescent="0.3">
      <c r="B31" s="3">
        <v>2017</v>
      </c>
      <c r="C31" s="3">
        <v>187500</v>
      </c>
      <c r="D31" s="3" t="s">
        <v>21</v>
      </c>
      <c r="E31" s="7">
        <f t="shared" si="6"/>
        <v>0.12951807228915663</v>
      </c>
      <c r="G31" s="3">
        <v>2017</v>
      </c>
      <c r="H31" s="3">
        <v>774000</v>
      </c>
      <c r="I31" s="3" t="s">
        <v>27</v>
      </c>
      <c r="J31" s="7">
        <f t="shared" si="7"/>
        <v>4.5945945945945948E-2</v>
      </c>
      <c r="L31" s="3">
        <v>2017</v>
      </c>
      <c r="M31" s="3">
        <v>422000</v>
      </c>
      <c r="N31" s="3" t="s">
        <v>29</v>
      </c>
      <c r="O31" s="7">
        <f t="shared" si="8"/>
        <v>0.14054054054054055</v>
      </c>
    </row>
    <row r="32" spans="2:15" x14ac:dyDescent="0.3">
      <c r="B32" s="3">
        <v>2018</v>
      </c>
      <c r="C32" s="3">
        <v>93700</v>
      </c>
      <c r="D32" s="3" t="s">
        <v>25</v>
      </c>
      <c r="E32" s="7">
        <f t="shared" si="6"/>
        <v>-0.50026666666666664</v>
      </c>
      <c r="G32" s="3">
        <v>2018</v>
      </c>
      <c r="H32" s="3">
        <v>1010000</v>
      </c>
      <c r="I32" s="3" t="s">
        <v>25</v>
      </c>
      <c r="J32" s="7">
        <f t="shared" si="7"/>
        <v>0.30490956072351422</v>
      </c>
      <c r="L32" s="3">
        <v>2018</v>
      </c>
      <c r="M32" s="3">
        <v>247000</v>
      </c>
      <c r="N32" s="3" t="s">
        <v>25</v>
      </c>
      <c r="O32" s="7">
        <f t="shared" si="8"/>
        <v>-0.41469194312796209</v>
      </c>
    </row>
    <row r="33" spans="2:15" x14ac:dyDescent="0.3">
      <c r="B33" s="3">
        <v>2019</v>
      </c>
      <c r="C33" s="3">
        <v>93800</v>
      </c>
      <c r="D33" s="3" t="s">
        <v>24</v>
      </c>
      <c r="E33" s="7">
        <f t="shared" si="6"/>
        <v>1.0672358591248667E-3</v>
      </c>
      <c r="G33" s="3">
        <v>2019</v>
      </c>
      <c r="H33" s="3">
        <v>1466000</v>
      </c>
      <c r="I33" s="3" t="s">
        <v>28</v>
      </c>
      <c r="J33" s="7">
        <f t="shared" si="7"/>
        <v>0.4514851485148515</v>
      </c>
      <c r="L33" s="3">
        <v>2019</v>
      </c>
      <c r="M33" s="3">
        <v>207500</v>
      </c>
      <c r="N33" s="3" t="s">
        <v>24</v>
      </c>
      <c r="O33" s="7">
        <f t="shared" si="8"/>
        <v>-0.15991902834008098</v>
      </c>
    </row>
    <row r="34" spans="2:15" x14ac:dyDescent="0.3">
      <c r="B34" s="3">
        <v>2020</v>
      </c>
      <c r="C34" s="3">
        <v>64200</v>
      </c>
      <c r="D34" s="3" t="s">
        <v>27</v>
      </c>
      <c r="E34" s="7">
        <f t="shared" si="6"/>
        <v>-0.31556503198294245</v>
      </c>
      <c r="G34" s="3">
        <v>2020</v>
      </c>
      <c r="H34" s="8">
        <v>3649000</v>
      </c>
      <c r="I34" s="3" t="s">
        <v>22</v>
      </c>
      <c r="J34" s="7">
        <f t="shared" si="7"/>
        <v>1.4890859481582537</v>
      </c>
      <c r="L34" s="3">
        <v>2020</v>
      </c>
      <c r="M34" s="3">
        <v>114500</v>
      </c>
      <c r="N34" s="3" t="s">
        <v>27</v>
      </c>
      <c r="O34" s="7">
        <f t="shared" si="8"/>
        <v>-0.44819277108433736</v>
      </c>
    </row>
    <row r="35" spans="2:15" x14ac:dyDescent="0.3">
      <c r="B35" s="3">
        <v>2021</v>
      </c>
      <c r="C35" s="3">
        <v>163500</v>
      </c>
      <c r="D35" s="3" t="s">
        <v>36</v>
      </c>
      <c r="E35" s="7">
        <f t="shared" si="6"/>
        <v>1.5467289719626167</v>
      </c>
      <c r="G35" s="3">
        <v>2021</v>
      </c>
      <c r="H35" s="3">
        <v>971000</v>
      </c>
      <c r="I35" s="3" t="s">
        <v>22</v>
      </c>
      <c r="J35" s="7">
        <f t="shared" si="7"/>
        <v>-0.73389969854754722</v>
      </c>
      <c r="L35" s="3">
        <v>2021</v>
      </c>
      <c r="M35" s="8">
        <v>538000</v>
      </c>
      <c r="N35" s="3" t="s">
        <v>27</v>
      </c>
      <c r="O35" s="7">
        <f t="shared" si="8"/>
        <v>3.6986899563318776</v>
      </c>
    </row>
    <row r="36" spans="2:15" x14ac:dyDescent="0.3">
      <c r="B36" s="3">
        <v>2022</v>
      </c>
      <c r="C36" s="3">
        <v>68600</v>
      </c>
      <c r="D36" s="3" t="s">
        <v>25</v>
      </c>
      <c r="E36" s="7">
        <f t="shared" si="6"/>
        <v>-0.58042813455657494</v>
      </c>
      <c r="G36" s="3">
        <v>2022</v>
      </c>
      <c r="H36" s="3">
        <v>499500</v>
      </c>
      <c r="I36" s="3" t="s">
        <v>20</v>
      </c>
      <c r="J36" s="7">
        <f t="shared" si="7"/>
        <v>-0.48558187435633365</v>
      </c>
      <c r="L36" s="3">
        <v>2022</v>
      </c>
      <c r="M36" s="9">
        <v>134303</v>
      </c>
      <c r="N36" s="3" t="s">
        <v>25</v>
      </c>
      <c r="O36" s="7">
        <f t="shared" si="8"/>
        <v>-0.7503661710037175</v>
      </c>
    </row>
    <row r="37" spans="2:15" x14ac:dyDescent="0.3">
      <c r="B37" s="3">
        <v>2023</v>
      </c>
      <c r="C37" s="3">
        <v>130000</v>
      </c>
      <c r="D37" s="3" t="s">
        <v>23</v>
      </c>
      <c r="E37" s="7">
        <f t="shared" si="6"/>
        <v>0.89504373177842567</v>
      </c>
      <c r="G37" s="3">
        <v>2023</v>
      </c>
      <c r="H37" s="3">
        <v>590000</v>
      </c>
      <c r="I37" s="3" t="s">
        <v>36</v>
      </c>
      <c r="J37" s="7">
        <f t="shared" si="7"/>
        <v>0.18118118118118118</v>
      </c>
      <c r="L37" s="3">
        <v>2023</v>
      </c>
      <c r="M37" s="3">
        <v>189700</v>
      </c>
      <c r="N37" s="3" t="s">
        <v>21</v>
      </c>
      <c r="O37" s="7">
        <f t="shared" si="8"/>
        <v>0.41247775552295929</v>
      </c>
    </row>
    <row r="38" spans="2:15" x14ac:dyDescent="0.3">
      <c r="B38" s="3">
        <v>2024</v>
      </c>
      <c r="C38" s="3">
        <v>219000</v>
      </c>
      <c r="D38" s="3" t="s">
        <v>22</v>
      </c>
      <c r="E38" s="7">
        <f t="shared" si="6"/>
        <v>0.68461538461538463</v>
      </c>
      <c r="G38" s="3">
        <v>2024</v>
      </c>
      <c r="H38" s="3">
        <v>300000</v>
      </c>
      <c r="I38" s="3" t="s">
        <v>35</v>
      </c>
      <c r="J38" s="7">
        <f t="shared" si="7"/>
        <v>-0.49152542372881358</v>
      </c>
      <c r="L38" s="3">
        <v>2024</v>
      </c>
      <c r="M38" s="3">
        <v>62200</v>
      </c>
      <c r="N38" s="3" t="s">
        <v>22</v>
      </c>
      <c r="O38" s="7">
        <f t="shared" si="8"/>
        <v>-0.67211386399578277</v>
      </c>
    </row>
    <row r="39" spans="2:15" x14ac:dyDescent="0.3">
      <c r="B39" s="3">
        <v>2025</v>
      </c>
      <c r="C39" s="8">
        <v>994500</v>
      </c>
      <c r="D39" s="3" t="s">
        <v>20</v>
      </c>
      <c r="E39" s="7">
        <f>(C39-C38)/C38</f>
        <v>3.5410958904109591</v>
      </c>
      <c r="G39" s="3">
        <v>2025</v>
      </c>
      <c r="H39" s="3">
        <v>253500</v>
      </c>
      <c r="I39" s="3" t="s">
        <v>22</v>
      </c>
      <c r="J39" s="7">
        <f>(H39-H38)/H38</f>
        <v>-0.155</v>
      </c>
      <c r="L39" s="3">
        <v>2025</v>
      </c>
      <c r="M39" s="3">
        <v>51800</v>
      </c>
      <c r="N39" s="3" t="s">
        <v>35</v>
      </c>
      <c r="O39" s="7">
        <f>(M39-M38)/M38</f>
        <v>-0.16720257234726688</v>
      </c>
    </row>
    <row r="41" spans="2:15" x14ac:dyDescent="0.3">
      <c r="B41" s="10" t="s">
        <v>43</v>
      </c>
      <c r="C41" s="10" t="s">
        <v>45</v>
      </c>
      <c r="D41" s="10" t="s">
        <v>44</v>
      </c>
      <c r="E41" s="10" t="s">
        <v>46</v>
      </c>
    </row>
    <row r="42" spans="2:15" x14ac:dyDescent="0.3">
      <c r="B42" s="3">
        <v>2015</v>
      </c>
      <c r="C42" s="3">
        <v>120500</v>
      </c>
      <c r="D42" s="3" t="s">
        <v>25</v>
      </c>
      <c r="E42" s="4"/>
    </row>
    <row r="43" spans="2:15" x14ac:dyDescent="0.3">
      <c r="B43" s="3">
        <v>2016</v>
      </c>
      <c r="C43" s="3">
        <v>139500</v>
      </c>
      <c r="D43" s="3" t="s">
        <v>23</v>
      </c>
      <c r="E43" s="7">
        <f t="shared" ref="E43:E51" si="9">(C43-C42)/C42</f>
        <v>0.15767634854771784</v>
      </c>
    </row>
    <row r="44" spans="2:15" x14ac:dyDescent="0.3">
      <c r="B44" s="3">
        <v>2017</v>
      </c>
      <c r="C44" s="3">
        <v>94900</v>
      </c>
      <c r="D44" s="3" t="s">
        <v>27</v>
      </c>
      <c r="E44" s="7">
        <f t="shared" si="9"/>
        <v>-0.31971326164874553</v>
      </c>
    </row>
    <row r="45" spans="2:15" x14ac:dyDescent="0.3">
      <c r="B45" s="3">
        <v>2018</v>
      </c>
      <c r="C45" s="3">
        <v>95500</v>
      </c>
      <c r="D45" s="3" t="s">
        <v>21</v>
      </c>
      <c r="E45" s="7">
        <f t="shared" si="9"/>
        <v>6.3224446786090622E-3</v>
      </c>
    </row>
    <row r="46" spans="2:15" x14ac:dyDescent="0.3">
      <c r="B46" s="3">
        <v>2019</v>
      </c>
      <c r="C46" s="3">
        <v>93700</v>
      </c>
      <c r="D46" s="3" t="s">
        <v>22</v>
      </c>
      <c r="E46" s="7">
        <f t="shared" si="9"/>
        <v>-1.8848167539267015E-2</v>
      </c>
    </row>
    <row r="47" spans="2:15" x14ac:dyDescent="0.3">
      <c r="B47" s="3">
        <v>2020</v>
      </c>
      <c r="C47" s="3">
        <v>98100</v>
      </c>
      <c r="D47" s="3" t="s">
        <v>26</v>
      </c>
      <c r="E47" s="7">
        <f t="shared" si="9"/>
        <v>4.6958377801494131E-2</v>
      </c>
    </row>
    <row r="48" spans="2:15" x14ac:dyDescent="0.3">
      <c r="B48" s="3">
        <v>2021</v>
      </c>
      <c r="C48" s="3">
        <v>78000</v>
      </c>
      <c r="D48" s="3" t="s">
        <v>27</v>
      </c>
      <c r="E48" s="7">
        <f t="shared" si="9"/>
        <v>-0.20489296636085627</v>
      </c>
    </row>
    <row r="49" spans="2:5" x14ac:dyDescent="0.3">
      <c r="B49" s="3">
        <v>2022</v>
      </c>
      <c r="C49" s="8">
        <v>300000</v>
      </c>
      <c r="D49" s="3" t="s">
        <v>20</v>
      </c>
      <c r="E49" s="7">
        <f t="shared" si="9"/>
        <v>2.8461538461538463</v>
      </c>
    </row>
    <row r="50" spans="2:5" x14ac:dyDescent="0.3">
      <c r="B50" s="3">
        <v>2023</v>
      </c>
      <c r="C50" s="3">
        <v>81500</v>
      </c>
      <c r="D50" s="3" t="s">
        <v>21</v>
      </c>
      <c r="E50" s="7">
        <f t="shared" si="9"/>
        <v>-0.72833333333333339</v>
      </c>
    </row>
    <row r="51" spans="2:5" x14ac:dyDescent="0.3">
      <c r="B51" s="3">
        <v>2024</v>
      </c>
      <c r="C51" s="3">
        <v>126400</v>
      </c>
      <c r="D51" s="3" t="s">
        <v>20</v>
      </c>
      <c r="E51" s="7">
        <f t="shared" si="9"/>
        <v>0.55092024539877305</v>
      </c>
    </row>
    <row r="52" spans="2:5" x14ac:dyDescent="0.3">
      <c r="B52" s="3">
        <v>2025</v>
      </c>
      <c r="C52" s="8">
        <v>557800</v>
      </c>
      <c r="D52" s="3" t="s">
        <v>22</v>
      </c>
      <c r="E52" s="7">
        <f>(C52-C51)/C51</f>
        <v>3.412974683544304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주식게임</vt:lpstr>
      <vt:lpstr>종목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김동원</dc:creator>
  <cp:lastModifiedBy>동원 김</cp:lastModifiedBy>
  <dcterms:created xsi:type="dcterms:W3CDTF">2021-12-01T20:37:09Z</dcterms:created>
  <dcterms:modified xsi:type="dcterms:W3CDTF">2026-05-22T03:34:54Z</dcterms:modified>
</cp:coreProperties>
</file>