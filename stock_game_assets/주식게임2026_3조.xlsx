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r MYBOX\임시\[PPT]경제특강20026_최종\"/>
    </mc:Choice>
  </mc:AlternateContent>
  <xr:revisionPtr revIDLastSave="0" documentId="13_ncr:1_{2572506F-8099-433A-8174-57B02E7DE755}" xr6:coauthVersionLast="47" xr6:coauthVersionMax="47" xr10:uidLastSave="{00000000-0000-0000-0000-000000000000}"/>
  <bookViews>
    <workbookView xWindow="30615" yWindow="1815" windowWidth="21600" windowHeight="11295" xr2:uid="{00000000-000D-0000-FFFF-FFFF00000000}"/>
  </bookViews>
  <sheets>
    <sheet name="2015" sheetId="1" r:id="rId1"/>
    <sheet name="2016" sheetId="11" r:id="rId2"/>
    <sheet name="2017" sheetId="35" r:id="rId3"/>
    <sheet name="2018" sheetId="36" r:id="rId4"/>
    <sheet name="2019" sheetId="37" r:id="rId5"/>
    <sheet name="2020" sheetId="38" r:id="rId6"/>
    <sheet name="2021" sheetId="39" r:id="rId7"/>
    <sheet name="2022" sheetId="40" r:id="rId8"/>
    <sheet name="2023" sheetId="41" r:id="rId9"/>
    <sheet name="2024" sheetId="42" r:id="rId10"/>
    <sheet name="2025" sheetId="43" r:id="rId11"/>
    <sheet name="종목" sheetId="33" r:id="rId12"/>
  </sheets>
  <externalReferences>
    <externalReference r:id="rId1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33" l="1"/>
  <c r="D44" i="33"/>
  <c r="D45" i="33"/>
  <c r="D46" i="33"/>
  <c r="D47" i="33"/>
  <c r="D48" i="33"/>
  <c r="D49" i="33"/>
  <c r="D50" i="33"/>
  <c r="D51" i="33"/>
  <c r="D52" i="33"/>
  <c r="D42" i="33"/>
  <c r="B43" i="33"/>
  <c r="B44" i="33"/>
  <c r="B45" i="33"/>
  <c r="B46" i="33"/>
  <c r="B47" i="33"/>
  <c r="B48" i="33"/>
  <c r="B49" i="33"/>
  <c r="B50" i="33"/>
  <c r="B51" i="33"/>
  <c r="B52" i="33"/>
  <c r="B42" i="33"/>
  <c r="N30" i="33"/>
  <c r="N31" i="33"/>
  <c r="N32" i="33"/>
  <c r="N33" i="33"/>
  <c r="N34" i="33"/>
  <c r="N35" i="33"/>
  <c r="N36" i="33"/>
  <c r="N37" i="33"/>
  <c r="N38" i="33"/>
  <c r="N39" i="33"/>
  <c r="N29" i="33"/>
  <c r="L30" i="33"/>
  <c r="L31" i="33"/>
  <c r="L32" i="33"/>
  <c r="L33" i="33"/>
  <c r="L34" i="33"/>
  <c r="L35" i="33"/>
  <c r="L36" i="33"/>
  <c r="L37" i="33"/>
  <c r="L38" i="33"/>
  <c r="L39" i="33"/>
  <c r="L29" i="33"/>
  <c r="I30" i="33"/>
  <c r="I31" i="33"/>
  <c r="I32" i="33"/>
  <c r="I33" i="33"/>
  <c r="I34" i="33"/>
  <c r="I35" i="33"/>
  <c r="I36" i="33"/>
  <c r="I37" i="33"/>
  <c r="I38" i="33"/>
  <c r="I39" i="33"/>
  <c r="I29" i="33"/>
  <c r="G30" i="33"/>
  <c r="G31" i="33"/>
  <c r="G32" i="33"/>
  <c r="G33" i="33"/>
  <c r="G34" i="33"/>
  <c r="G35" i="33"/>
  <c r="G36" i="33"/>
  <c r="G37" i="33"/>
  <c r="G38" i="33"/>
  <c r="G39" i="33"/>
  <c r="G29" i="33"/>
  <c r="D30" i="33"/>
  <c r="D31" i="33"/>
  <c r="D32" i="33"/>
  <c r="D33" i="33"/>
  <c r="D34" i="33"/>
  <c r="D35" i="33"/>
  <c r="D36" i="33"/>
  <c r="D37" i="33"/>
  <c r="D38" i="33"/>
  <c r="D39" i="33"/>
  <c r="D29" i="33"/>
  <c r="B30" i="33"/>
  <c r="B31" i="33"/>
  <c r="B32" i="33"/>
  <c r="B33" i="33"/>
  <c r="B34" i="33"/>
  <c r="B35" i="33"/>
  <c r="B36" i="33"/>
  <c r="B37" i="33"/>
  <c r="B38" i="33"/>
  <c r="B39" i="33"/>
  <c r="B29" i="33"/>
  <c r="I17" i="33"/>
  <c r="I18" i="33"/>
  <c r="I19" i="33"/>
  <c r="I20" i="33"/>
  <c r="I21" i="33"/>
  <c r="I22" i="33"/>
  <c r="I23" i="33"/>
  <c r="I24" i="33"/>
  <c r="I25" i="33"/>
  <c r="I26" i="33"/>
  <c r="I16" i="33"/>
  <c r="L17" i="33"/>
  <c r="L18" i="33"/>
  <c r="L19" i="33"/>
  <c r="L20" i="33"/>
  <c r="L21" i="33"/>
  <c r="L22" i="33"/>
  <c r="L23" i="33"/>
  <c r="L24" i="33"/>
  <c r="L25" i="33"/>
  <c r="L26" i="33"/>
  <c r="L16" i="33"/>
  <c r="N17" i="33"/>
  <c r="N18" i="33"/>
  <c r="N19" i="33"/>
  <c r="N20" i="33"/>
  <c r="N21" i="33"/>
  <c r="N22" i="33"/>
  <c r="N23" i="33"/>
  <c r="N24" i="33"/>
  <c r="N25" i="33"/>
  <c r="N26" i="33"/>
  <c r="N16" i="33"/>
  <c r="G17" i="33"/>
  <c r="G18" i="33"/>
  <c r="G19" i="33"/>
  <c r="G20" i="33"/>
  <c r="G21" i="33"/>
  <c r="G22" i="33"/>
  <c r="G23" i="33"/>
  <c r="G24" i="33"/>
  <c r="G25" i="33"/>
  <c r="G26" i="33"/>
  <c r="G16" i="33"/>
  <c r="D17" i="33"/>
  <c r="D18" i="33"/>
  <c r="D19" i="33"/>
  <c r="D20" i="33"/>
  <c r="D21" i="33"/>
  <c r="D22" i="33"/>
  <c r="D23" i="33"/>
  <c r="D24" i="33"/>
  <c r="D25" i="33"/>
  <c r="D26" i="33"/>
  <c r="D16" i="33"/>
  <c r="B17" i="33"/>
  <c r="B18" i="33"/>
  <c r="B19" i="33"/>
  <c r="B20" i="33"/>
  <c r="B21" i="33"/>
  <c r="B22" i="33"/>
  <c r="B23" i="33"/>
  <c r="B24" i="33"/>
  <c r="B25" i="33"/>
  <c r="B26" i="33"/>
  <c r="B16" i="33"/>
  <c r="N4" i="33"/>
  <c r="N5" i="33"/>
  <c r="N6" i="33"/>
  <c r="N7" i="33"/>
  <c r="N8" i="33"/>
  <c r="N9" i="33"/>
  <c r="N10" i="33"/>
  <c r="N11" i="33"/>
  <c r="N12" i="33"/>
  <c r="N13" i="33"/>
  <c r="N3" i="33"/>
  <c r="L4" i="33"/>
  <c r="L5" i="33"/>
  <c r="L6" i="33"/>
  <c r="L7" i="33"/>
  <c r="L8" i="33"/>
  <c r="L9" i="33"/>
  <c r="L10" i="33"/>
  <c r="L11" i="33"/>
  <c r="L12" i="33"/>
  <c r="L13" i="33"/>
  <c r="L3" i="33"/>
  <c r="I4" i="33"/>
  <c r="I5" i="33"/>
  <c r="I6" i="33"/>
  <c r="I7" i="33"/>
  <c r="I8" i="33"/>
  <c r="I9" i="33"/>
  <c r="I10" i="33"/>
  <c r="I11" i="33"/>
  <c r="I12" i="33"/>
  <c r="I13" i="33"/>
  <c r="I3" i="33"/>
  <c r="G4" i="33"/>
  <c r="G5" i="33"/>
  <c r="G6" i="33"/>
  <c r="G7" i="33"/>
  <c r="G8" i="33"/>
  <c r="G9" i="33"/>
  <c r="G10" i="33"/>
  <c r="G11" i="33"/>
  <c r="G12" i="33"/>
  <c r="G13" i="33"/>
  <c r="G3" i="33"/>
  <c r="D4" i="33"/>
  <c r="D5" i="33"/>
  <c r="D6" i="33"/>
  <c r="D7" i="33"/>
  <c r="D8" i="33"/>
  <c r="D9" i="33"/>
  <c r="D10" i="33"/>
  <c r="D11" i="33"/>
  <c r="D12" i="33"/>
  <c r="D13" i="33"/>
  <c r="D3" i="33"/>
  <c r="B4" i="33"/>
  <c r="B5" i="33"/>
  <c r="B6" i="33"/>
  <c r="B7" i="33"/>
  <c r="B8" i="33"/>
  <c r="B9" i="33"/>
  <c r="B10" i="33"/>
  <c r="B11" i="33"/>
  <c r="B12" i="33"/>
  <c r="B13" i="33"/>
  <c r="B3" i="33"/>
  <c r="C43" i="33" l="1"/>
  <c r="C44" i="33"/>
  <c r="C45" i="33"/>
  <c r="C46" i="33"/>
  <c r="C47" i="33"/>
  <c r="C48" i="33"/>
  <c r="C49" i="33"/>
  <c r="C50" i="33"/>
  <c r="C51" i="33"/>
  <c r="C52" i="33"/>
  <c r="C42" i="33"/>
  <c r="M30" i="33"/>
  <c r="M31" i="33"/>
  <c r="M32" i="33"/>
  <c r="M33" i="33"/>
  <c r="M34" i="33"/>
  <c r="M35" i="33"/>
  <c r="M36" i="33"/>
  <c r="M37" i="33"/>
  <c r="M38" i="33"/>
  <c r="M39" i="33"/>
  <c r="M29" i="33"/>
  <c r="H30" i="33"/>
  <c r="H31" i="33"/>
  <c r="H32" i="33"/>
  <c r="H33" i="33"/>
  <c r="H34" i="33"/>
  <c r="H35" i="33"/>
  <c r="H36" i="33"/>
  <c r="H37" i="33"/>
  <c r="H38" i="33"/>
  <c r="H29" i="33"/>
  <c r="C39" i="33"/>
  <c r="C30" i="33"/>
  <c r="C31" i="33"/>
  <c r="C32" i="33"/>
  <c r="C33" i="33"/>
  <c r="C34" i="33"/>
  <c r="C35" i="33"/>
  <c r="C36" i="33"/>
  <c r="C37" i="33"/>
  <c r="C38" i="33"/>
  <c r="C29" i="33"/>
  <c r="M17" i="33"/>
  <c r="M18" i="33"/>
  <c r="M19" i="33"/>
  <c r="M20" i="33"/>
  <c r="M21" i="33"/>
  <c r="M22" i="33"/>
  <c r="M23" i="33"/>
  <c r="M24" i="33"/>
  <c r="M25" i="33"/>
  <c r="M26" i="33"/>
  <c r="M16" i="33"/>
  <c r="H17" i="33"/>
  <c r="H18" i="33"/>
  <c r="H19" i="33"/>
  <c r="H20" i="33"/>
  <c r="H21" i="33"/>
  <c r="H22" i="33"/>
  <c r="H23" i="33"/>
  <c r="H24" i="33"/>
  <c r="H25" i="33"/>
  <c r="H26" i="33"/>
  <c r="H16" i="33"/>
  <c r="C17" i="33"/>
  <c r="C18" i="33"/>
  <c r="C19" i="33"/>
  <c r="C20" i="33"/>
  <c r="C21" i="33"/>
  <c r="C22" i="33"/>
  <c r="C23" i="33"/>
  <c r="C24" i="33"/>
  <c r="C25" i="33"/>
  <c r="C26" i="33"/>
  <c r="C16" i="33"/>
  <c r="M4" i="33"/>
  <c r="M5" i="33"/>
  <c r="M6" i="33"/>
  <c r="M7" i="33"/>
  <c r="M8" i="33"/>
  <c r="M9" i="33"/>
  <c r="M10" i="33"/>
  <c r="M11" i="33"/>
  <c r="M12" i="33"/>
  <c r="M3" i="33"/>
  <c r="H4" i="33"/>
  <c r="H5" i="33"/>
  <c r="H6" i="33"/>
  <c r="H7" i="33"/>
  <c r="H8" i="33"/>
  <c r="H9" i="33"/>
  <c r="H10" i="33"/>
  <c r="H11" i="33"/>
  <c r="H12" i="33"/>
  <c r="H13" i="33"/>
  <c r="H3" i="33"/>
  <c r="C13" i="33"/>
  <c r="C12" i="33"/>
  <c r="C11" i="33"/>
  <c r="C10" i="33"/>
  <c r="C9" i="33"/>
  <c r="C8" i="33"/>
  <c r="C7" i="33"/>
  <c r="C6" i="33"/>
  <c r="C5" i="33"/>
  <c r="C4" i="33"/>
  <c r="F6" i="11" s="1"/>
  <c r="C3" i="33"/>
  <c r="C6" i="1" s="1"/>
  <c r="E43" i="33" l="1"/>
  <c r="E44" i="33"/>
  <c r="E45" i="33"/>
  <c r="E46" i="33"/>
  <c r="E47" i="33"/>
  <c r="E48" i="33"/>
  <c r="E49" i="33"/>
  <c r="E50" i="33"/>
  <c r="E51" i="33"/>
  <c r="E52" i="33"/>
  <c r="O30" i="33"/>
  <c r="O31" i="33"/>
  <c r="O32" i="33"/>
  <c r="O33" i="33"/>
  <c r="O34" i="33"/>
  <c r="O35" i="33"/>
  <c r="O36" i="33"/>
  <c r="O37" i="33"/>
  <c r="O38" i="33"/>
  <c r="O39" i="33"/>
  <c r="J30" i="33"/>
  <c r="J31" i="33"/>
  <c r="J32" i="33"/>
  <c r="J33" i="33"/>
  <c r="J34" i="33"/>
  <c r="J35" i="33"/>
  <c r="J36" i="33"/>
  <c r="J37" i="33"/>
  <c r="J38" i="33"/>
  <c r="J39" i="33"/>
  <c r="E30" i="33"/>
  <c r="E31" i="33"/>
  <c r="E32" i="33"/>
  <c r="E33" i="33"/>
  <c r="E34" i="33"/>
  <c r="E35" i="33"/>
  <c r="E36" i="33"/>
  <c r="E37" i="33"/>
  <c r="E38" i="33"/>
  <c r="E39" i="33"/>
  <c r="O17" i="33"/>
  <c r="O18" i="33"/>
  <c r="O19" i="33"/>
  <c r="O20" i="33"/>
  <c r="O21" i="33"/>
  <c r="O22" i="33"/>
  <c r="O23" i="33"/>
  <c r="O24" i="33"/>
  <c r="O25" i="33"/>
  <c r="O26" i="33"/>
  <c r="J17" i="33"/>
  <c r="J18" i="33"/>
  <c r="J19" i="33"/>
  <c r="J20" i="33"/>
  <c r="J21" i="33"/>
  <c r="J22" i="33"/>
  <c r="J23" i="33"/>
  <c r="J24" i="33"/>
  <c r="J25" i="33"/>
  <c r="J26" i="33"/>
  <c r="E17" i="33"/>
  <c r="E18" i="33"/>
  <c r="E19" i="33"/>
  <c r="E20" i="33"/>
  <c r="E21" i="33"/>
  <c r="E22" i="33"/>
  <c r="E23" i="33"/>
  <c r="E24" i="33"/>
  <c r="E25" i="33"/>
  <c r="E26" i="33"/>
  <c r="O4" i="33"/>
  <c r="O5" i="33"/>
  <c r="O6" i="33"/>
  <c r="O7" i="33"/>
  <c r="O8" i="33"/>
  <c r="O9" i="33"/>
  <c r="O10" i="33"/>
  <c r="O11" i="33"/>
  <c r="O12" i="33"/>
  <c r="O13" i="33"/>
  <c r="J4" i="33"/>
  <c r="J5" i="33"/>
  <c r="J6" i="33"/>
  <c r="J7" i="33"/>
  <c r="J8" i="33"/>
  <c r="J9" i="33"/>
  <c r="J10" i="33"/>
  <c r="J11" i="33"/>
  <c r="J12" i="33"/>
  <c r="J13" i="33"/>
  <c r="E4" i="33"/>
  <c r="E5" i="33"/>
  <c r="E6" i="33"/>
  <c r="E7" i="33"/>
  <c r="E8" i="33"/>
  <c r="E9" i="33"/>
  <c r="E10" i="33"/>
  <c r="E11" i="33"/>
  <c r="E12" i="33"/>
  <c r="E13" i="33"/>
  <c r="T12" i="33" a="1"/>
  <c r="T12" i="33" s="1"/>
  <c r="U12" i="33" a="1"/>
  <c r="U12" i="33" s="1"/>
  <c r="V12" i="33" a="1"/>
  <c r="V12" i="33" s="1"/>
  <c r="W12" i="33" a="1"/>
  <c r="W12" i="33" s="1"/>
  <c r="X12" i="33" a="1"/>
  <c r="X12" i="33" s="1"/>
  <c r="Y12" i="33" a="1"/>
  <c r="Y12" i="33" s="1"/>
  <c r="Z12" i="33" a="1"/>
  <c r="Z12" i="33" s="1"/>
  <c r="AA12" i="33" a="1"/>
  <c r="AA12" i="33" s="1"/>
  <c r="AB12" i="33" a="1"/>
  <c r="AB12" i="33" s="1"/>
  <c r="AC12" i="33" a="1"/>
  <c r="AC12" i="33" s="1"/>
  <c r="S12" i="33" a="1"/>
  <c r="S12" i="33" s="1"/>
  <c r="AC11" i="33" a="1"/>
  <c r="AC11" i="33" s="1"/>
  <c r="T11" i="33" a="1"/>
  <c r="T11" i="33" s="1"/>
  <c r="U11" i="33" a="1"/>
  <c r="U11" i="33" s="1"/>
  <c r="V11" i="33" a="1"/>
  <c r="V11" i="33" s="1"/>
  <c r="W11" i="33" a="1"/>
  <c r="W11" i="33" s="1"/>
  <c r="X11" i="33" a="1"/>
  <c r="X11" i="33" s="1"/>
  <c r="Y11" i="33" a="1"/>
  <c r="Y11" i="33" s="1"/>
  <c r="Z11" i="33" a="1"/>
  <c r="Z11" i="33" s="1"/>
  <c r="AA11" i="33" a="1"/>
  <c r="AA11" i="33" s="1"/>
  <c r="AB11" i="33" a="1"/>
  <c r="AB11" i="33" s="1"/>
  <c r="S11" i="33" a="1"/>
  <c r="S11" i="33" s="1"/>
  <c r="T10" i="33" a="1"/>
  <c r="T10" i="33" s="1"/>
  <c r="U10" i="33" a="1"/>
  <c r="U10" i="33" s="1"/>
  <c r="V10" i="33" a="1"/>
  <c r="V10" i="33" s="1"/>
  <c r="W10" i="33" a="1"/>
  <c r="W10" i="33" s="1"/>
  <c r="X10" i="33" a="1"/>
  <c r="X10" i="33" s="1"/>
  <c r="Y10" i="33" a="1"/>
  <c r="Y10" i="33" s="1"/>
  <c r="Z10" i="33" a="1"/>
  <c r="Z10" i="33" s="1"/>
  <c r="AA10" i="33" a="1"/>
  <c r="AA10" i="33" s="1"/>
  <c r="AB10" i="33" a="1"/>
  <c r="AB10" i="33" s="1"/>
  <c r="AC10" i="33" a="1"/>
  <c r="AC10" i="33" s="1"/>
  <c r="S10" i="33" a="1"/>
  <c r="S10" i="33" s="1"/>
  <c r="T9" i="33" a="1"/>
  <c r="T9" i="33" s="1"/>
  <c r="U9" i="33" a="1"/>
  <c r="U9" i="33" s="1"/>
  <c r="V9" i="33" a="1"/>
  <c r="V9" i="33" s="1"/>
  <c r="W9" i="33" a="1"/>
  <c r="W9" i="33" s="1"/>
  <c r="X9" i="33" a="1"/>
  <c r="X9" i="33" s="1"/>
  <c r="Y9" i="33" a="1"/>
  <c r="Y9" i="33" s="1"/>
  <c r="Z9" i="33" a="1"/>
  <c r="Z9" i="33" s="1"/>
  <c r="AA9" i="33" a="1"/>
  <c r="AA9" i="33" s="1"/>
  <c r="AB9" i="33" a="1"/>
  <c r="AB9" i="33" s="1"/>
  <c r="AC9" i="33" a="1"/>
  <c r="AC9" i="33" s="1"/>
  <c r="S9" i="33" a="1"/>
  <c r="S9" i="33" s="1"/>
  <c r="T8" i="33" a="1"/>
  <c r="T8" i="33" s="1"/>
  <c r="U8" i="33" a="1"/>
  <c r="U8" i="33" s="1"/>
  <c r="V8" i="33" a="1"/>
  <c r="V8" i="33" s="1"/>
  <c r="W8" i="33" a="1"/>
  <c r="W8" i="33" s="1"/>
  <c r="X8" i="33" a="1"/>
  <c r="X8" i="33" s="1"/>
  <c r="Y8" i="33" a="1"/>
  <c r="Y8" i="33" s="1"/>
  <c r="Z8" i="33" a="1"/>
  <c r="Z8" i="33" s="1"/>
  <c r="AA8" i="33" a="1"/>
  <c r="AA8" i="33" s="1"/>
  <c r="AB8" i="33" a="1"/>
  <c r="AB8" i="33" s="1"/>
  <c r="AC8" i="33" a="1"/>
  <c r="AC8" i="33" s="1"/>
  <c r="S8" i="33" a="1"/>
  <c r="S8" i="33" s="1"/>
  <c r="T7" i="33" a="1"/>
  <c r="T7" i="33" s="1"/>
  <c r="U7" i="33" a="1"/>
  <c r="U7" i="33" s="1"/>
  <c r="V7" i="33" a="1"/>
  <c r="V7" i="33" s="1"/>
  <c r="W7" i="33" a="1"/>
  <c r="W7" i="33" s="1"/>
  <c r="X7" i="33" a="1"/>
  <c r="X7" i="33" s="1"/>
  <c r="Y7" i="33" a="1"/>
  <c r="Y7" i="33" s="1"/>
  <c r="Z7" i="33" a="1"/>
  <c r="Z7" i="33" s="1"/>
  <c r="AA7" i="33" a="1"/>
  <c r="AA7" i="33" s="1"/>
  <c r="AB7" i="33" a="1"/>
  <c r="AB7" i="33" s="1"/>
  <c r="AC7" i="33" a="1"/>
  <c r="AC7" i="33" s="1"/>
  <c r="S7" i="33" a="1"/>
  <c r="S7" i="33" s="1"/>
  <c r="T6" i="33" a="1"/>
  <c r="T6" i="33" s="1"/>
  <c r="U6" i="33" a="1"/>
  <c r="U6" i="33" s="1"/>
  <c r="V6" i="33" a="1"/>
  <c r="V6" i="33" s="1"/>
  <c r="W6" i="33" a="1"/>
  <c r="W6" i="33" s="1"/>
  <c r="X6" i="33" a="1"/>
  <c r="X6" i="33" s="1"/>
  <c r="Y6" i="33" a="1"/>
  <c r="Y6" i="33" s="1"/>
  <c r="Z6" i="33" a="1"/>
  <c r="Z6" i="33" s="1"/>
  <c r="AA6" i="33" a="1"/>
  <c r="AA6" i="33" s="1"/>
  <c r="AB6" i="33" a="1"/>
  <c r="AB6" i="33" s="1"/>
  <c r="AC6" i="33" a="1"/>
  <c r="AC6" i="33" s="1"/>
  <c r="S6" i="33" a="1"/>
  <c r="S6" i="33" s="1"/>
  <c r="T5" i="33" a="1"/>
  <c r="T5" i="33" s="1"/>
  <c r="U5" i="33" a="1"/>
  <c r="U5" i="33" s="1"/>
  <c r="V5" i="33" a="1"/>
  <c r="V5" i="33" s="1"/>
  <c r="W5" i="33" a="1"/>
  <c r="W5" i="33" s="1"/>
  <c r="X5" i="33" a="1"/>
  <c r="X5" i="33" s="1"/>
  <c r="Y5" i="33" a="1"/>
  <c r="Y5" i="33" s="1"/>
  <c r="Z5" i="33" a="1"/>
  <c r="Z5" i="33" s="1"/>
  <c r="AA5" i="33" a="1"/>
  <c r="AA5" i="33" s="1"/>
  <c r="AB5" i="33" a="1"/>
  <c r="AB5" i="33" s="1"/>
  <c r="AC5" i="33" a="1"/>
  <c r="AC5" i="33" s="1"/>
  <c r="S5" i="33" a="1"/>
  <c r="S5" i="33" s="1"/>
  <c r="T4" i="33" a="1"/>
  <c r="T4" i="33" s="1"/>
  <c r="U4" i="33" a="1"/>
  <c r="U4" i="33" s="1"/>
  <c r="V4" i="33" a="1"/>
  <c r="V4" i="33" s="1"/>
  <c r="W4" i="33" a="1"/>
  <c r="W4" i="33" s="1"/>
  <c r="X4" i="33" a="1"/>
  <c r="X4" i="33" s="1"/>
  <c r="Y4" i="33" a="1"/>
  <c r="Y4" i="33" s="1"/>
  <c r="Z4" i="33" a="1"/>
  <c r="Z4" i="33" s="1"/>
  <c r="AA4" i="33" a="1"/>
  <c r="AA4" i="33" s="1"/>
  <c r="AB4" i="33" a="1"/>
  <c r="AB4" i="33" s="1"/>
  <c r="AC4" i="33" a="1"/>
  <c r="AC4" i="33" s="1"/>
  <c r="S4" i="33" a="1"/>
  <c r="S4" i="33" s="1"/>
  <c r="T3" i="33" a="1"/>
  <c r="T3" i="33" s="1"/>
  <c r="U3" i="33" a="1"/>
  <c r="U3" i="33" s="1"/>
  <c r="V3" i="33" a="1"/>
  <c r="V3" i="33" s="1"/>
  <c r="W3" i="33" a="1"/>
  <c r="W3" i="33" s="1"/>
  <c r="X3" i="33" a="1"/>
  <c r="X3" i="33" s="1"/>
  <c r="Y3" i="33" a="1"/>
  <c r="Y3" i="33" s="1"/>
  <c r="Z3" i="33" a="1"/>
  <c r="Z3" i="33" s="1"/>
  <c r="AA3" i="33" a="1"/>
  <c r="AA3" i="33" s="1"/>
  <c r="AB3" i="33" a="1"/>
  <c r="AB3" i="33" s="1"/>
  <c r="AC3" i="33" a="1"/>
  <c r="AC3" i="33" s="1"/>
  <c r="S3" i="33" a="1"/>
  <c r="S3" i="33" s="1"/>
  <c r="R12" i="33"/>
  <c r="R11" i="33"/>
  <c r="R10" i="33"/>
  <c r="R9" i="33"/>
  <c r="R8" i="33"/>
  <c r="R7" i="33"/>
  <c r="R6" i="33"/>
  <c r="R5" i="33"/>
  <c r="R4" i="33"/>
  <c r="R3" i="33"/>
  <c r="Q12" i="33"/>
  <c r="Q11" i="33"/>
  <c r="Q10" i="33"/>
  <c r="Q9" i="33"/>
  <c r="Q8" i="33"/>
  <c r="Q7" i="33"/>
  <c r="Q6" i="33"/>
  <c r="Q5" i="33"/>
  <c r="Q4" i="33"/>
  <c r="Q3" i="33"/>
  <c r="B3" i="43" l="1"/>
  <c r="C3" i="43" s="1"/>
  <c r="C3" i="1"/>
  <c r="F15" i="43"/>
  <c r="F14" i="43"/>
  <c r="J14" i="43" s="1"/>
  <c r="F13" i="43"/>
  <c r="J13" i="43" s="1"/>
  <c r="F12" i="43"/>
  <c r="F11" i="43"/>
  <c r="F10" i="43"/>
  <c r="J10" i="43" s="1"/>
  <c r="F9" i="43"/>
  <c r="J9" i="43" s="1"/>
  <c r="F8" i="43"/>
  <c r="F7" i="43"/>
  <c r="F6" i="43"/>
  <c r="J6" i="43" s="1"/>
  <c r="F15" i="42"/>
  <c r="J15" i="42" s="1"/>
  <c r="C15" i="43" s="1"/>
  <c r="F14" i="42"/>
  <c r="J14" i="42" s="1"/>
  <c r="C14" i="43" s="1"/>
  <c r="F13" i="42"/>
  <c r="F12" i="42"/>
  <c r="J12" i="42" s="1"/>
  <c r="C12" i="43" s="1"/>
  <c r="F11" i="42"/>
  <c r="J11" i="42" s="1"/>
  <c r="C11" i="43" s="1"/>
  <c r="F10" i="42"/>
  <c r="J10" i="42" s="1"/>
  <c r="C10" i="43" s="1"/>
  <c r="F9" i="42"/>
  <c r="F8" i="42"/>
  <c r="J8" i="42" s="1"/>
  <c r="C8" i="43" s="1"/>
  <c r="G8" i="43" s="1"/>
  <c r="F7" i="42"/>
  <c r="J7" i="42" s="1"/>
  <c r="C7" i="43" s="1"/>
  <c r="F6" i="42"/>
  <c r="J6" i="42" s="1"/>
  <c r="C6" i="43" s="1"/>
  <c r="F15" i="41"/>
  <c r="F14" i="41"/>
  <c r="J14" i="41" s="1"/>
  <c r="C14" i="42" s="1"/>
  <c r="F13" i="41"/>
  <c r="J13" i="41" s="1"/>
  <c r="C13" i="42" s="1"/>
  <c r="F12" i="41"/>
  <c r="F11" i="41"/>
  <c r="F10" i="41"/>
  <c r="J10" i="41" s="1"/>
  <c r="C10" i="42" s="1"/>
  <c r="F9" i="41"/>
  <c r="J9" i="41" s="1"/>
  <c r="C9" i="42" s="1"/>
  <c r="F8" i="41"/>
  <c r="F7" i="41"/>
  <c r="F6" i="41"/>
  <c r="J6" i="41" s="1"/>
  <c r="C6" i="42" s="1"/>
  <c r="F15" i="40"/>
  <c r="F14" i="40"/>
  <c r="J14" i="40" s="1"/>
  <c r="C14" i="41" s="1"/>
  <c r="F13" i="40"/>
  <c r="J13" i="40" s="1"/>
  <c r="C13" i="41" s="1"/>
  <c r="F12" i="40"/>
  <c r="J12" i="40" s="1"/>
  <c r="C12" i="41" s="1"/>
  <c r="F11" i="40"/>
  <c r="F10" i="40"/>
  <c r="J10" i="40" s="1"/>
  <c r="C10" i="41" s="1"/>
  <c r="F9" i="40"/>
  <c r="J9" i="40" s="1"/>
  <c r="C9" i="41" s="1"/>
  <c r="F8" i="40"/>
  <c r="J8" i="40" s="1"/>
  <c r="C8" i="41" s="1"/>
  <c r="F7" i="40"/>
  <c r="F6" i="40"/>
  <c r="F15" i="39"/>
  <c r="F14" i="39"/>
  <c r="J14" i="39" s="1"/>
  <c r="C14" i="40" s="1"/>
  <c r="F13" i="39"/>
  <c r="J13" i="39" s="1"/>
  <c r="C13" i="40" s="1"/>
  <c r="F12" i="39"/>
  <c r="J12" i="39" s="1"/>
  <c r="C12" i="40" s="1"/>
  <c r="F11" i="39"/>
  <c r="F10" i="39"/>
  <c r="J10" i="39" s="1"/>
  <c r="C10" i="40" s="1"/>
  <c r="F9" i="39"/>
  <c r="F8" i="39"/>
  <c r="F7" i="39"/>
  <c r="F6" i="39"/>
  <c r="J6" i="39" s="1"/>
  <c r="C6" i="40" s="1"/>
  <c r="F15" i="38"/>
  <c r="F14" i="38"/>
  <c r="J14" i="38" s="1"/>
  <c r="C14" i="39" s="1"/>
  <c r="F13" i="38"/>
  <c r="J13" i="38" s="1"/>
  <c r="C13" i="39" s="1"/>
  <c r="F12" i="38"/>
  <c r="J12" i="38" s="1"/>
  <c r="C12" i="39" s="1"/>
  <c r="F11" i="38"/>
  <c r="F10" i="38"/>
  <c r="J10" i="38" s="1"/>
  <c r="C10" i="39" s="1"/>
  <c r="F9" i="38"/>
  <c r="J9" i="38" s="1"/>
  <c r="C9" i="39" s="1"/>
  <c r="F8" i="38"/>
  <c r="J8" i="38" s="1"/>
  <c r="C8" i="39" s="1"/>
  <c r="G8" i="39" s="1"/>
  <c r="F7" i="38"/>
  <c r="F6" i="38"/>
  <c r="J6" i="38" s="1"/>
  <c r="C6" i="39" s="1"/>
  <c r="F15" i="37"/>
  <c r="F14" i="37"/>
  <c r="J14" i="37" s="1"/>
  <c r="C14" i="38" s="1"/>
  <c r="F13" i="37"/>
  <c r="J13" i="37" s="1"/>
  <c r="C13" i="38" s="1"/>
  <c r="F12" i="37"/>
  <c r="J12" i="37" s="1"/>
  <c r="C12" i="38" s="1"/>
  <c r="F11" i="37"/>
  <c r="F10" i="37"/>
  <c r="J10" i="37" s="1"/>
  <c r="C10" i="38" s="1"/>
  <c r="F9" i="37"/>
  <c r="J9" i="37" s="1"/>
  <c r="C9" i="38" s="1"/>
  <c r="F8" i="37"/>
  <c r="J8" i="37" s="1"/>
  <c r="C8" i="38" s="1"/>
  <c r="F7" i="37"/>
  <c r="F6" i="37"/>
  <c r="J6" i="37" s="1"/>
  <c r="C6" i="38" s="1"/>
  <c r="G8" i="38" l="1"/>
  <c r="G9" i="38"/>
  <c r="G12" i="38"/>
  <c r="G12" i="43"/>
  <c r="G12" i="39"/>
  <c r="G9" i="42"/>
  <c r="G6" i="42"/>
  <c r="G13" i="41"/>
  <c r="G12" i="41"/>
  <c r="G10" i="43"/>
  <c r="G13" i="42"/>
  <c r="G10" i="41"/>
  <c r="G14" i="42"/>
  <c r="G12" i="40"/>
  <c r="G10" i="42"/>
  <c r="G6" i="43"/>
  <c r="G6" i="40"/>
  <c r="G9" i="41"/>
  <c r="G13" i="40"/>
  <c r="G9" i="39"/>
  <c r="G8" i="41"/>
  <c r="G7" i="43"/>
  <c r="J8" i="43"/>
  <c r="G11" i="43"/>
  <c r="J12" i="43"/>
  <c r="G15" i="43"/>
  <c r="J7" i="43"/>
  <c r="J11" i="43"/>
  <c r="G14" i="43"/>
  <c r="J15" i="43"/>
  <c r="J9" i="42"/>
  <c r="C9" i="43" s="1"/>
  <c r="G9" i="43" s="1"/>
  <c r="J13" i="42"/>
  <c r="C13" i="43" s="1"/>
  <c r="G13" i="43" s="1"/>
  <c r="J8" i="41"/>
  <c r="C8" i="42" s="1"/>
  <c r="G8" i="42" s="1"/>
  <c r="J12" i="41"/>
  <c r="C12" i="42" s="1"/>
  <c r="G12" i="42" s="1"/>
  <c r="J7" i="41"/>
  <c r="C7" i="42" s="1"/>
  <c r="G7" i="42" s="1"/>
  <c r="J11" i="41"/>
  <c r="C11" i="42" s="1"/>
  <c r="G11" i="42" s="1"/>
  <c r="G14" i="41"/>
  <c r="J15" i="41"/>
  <c r="C15" i="42" s="1"/>
  <c r="G15" i="42" s="1"/>
  <c r="J6" i="40"/>
  <c r="C6" i="41" s="1"/>
  <c r="G6" i="41" s="1"/>
  <c r="J7" i="40"/>
  <c r="C7" i="41" s="1"/>
  <c r="G7" i="41" s="1"/>
  <c r="G10" i="40"/>
  <c r="J11" i="40"/>
  <c r="C11" i="41" s="1"/>
  <c r="G11" i="41" s="1"/>
  <c r="G14" i="40"/>
  <c r="J15" i="40"/>
  <c r="C15" i="41" s="1"/>
  <c r="G15" i="41" s="1"/>
  <c r="G13" i="39"/>
  <c r="J9" i="39"/>
  <c r="C9" i="40" s="1"/>
  <c r="G9" i="40" s="1"/>
  <c r="J8" i="39"/>
  <c r="C8" i="40" s="1"/>
  <c r="G8" i="40" s="1"/>
  <c r="G6" i="39"/>
  <c r="J7" i="39"/>
  <c r="C7" i="40" s="1"/>
  <c r="G7" i="40" s="1"/>
  <c r="G10" i="39"/>
  <c r="J11" i="39"/>
  <c r="C11" i="40" s="1"/>
  <c r="G11" i="40" s="1"/>
  <c r="G14" i="39"/>
  <c r="J15" i="39"/>
  <c r="C15" i="40" s="1"/>
  <c r="G15" i="40" s="1"/>
  <c r="G13" i="38"/>
  <c r="G6" i="38"/>
  <c r="J7" i="38"/>
  <c r="C7" i="39" s="1"/>
  <c r="G7" i="39" s="1"/>
  <c r="G10" i="38"/>
  <c r="J11" i="38"/>
  <c r="C11" i="39" s="1"/>
  <c r="G11" i="39" s="1"/>
  <c r="G14" i="38"/>
  <c r="J15" i="38"/>
  <c r="C15" i="39" s="1"/>
  <c r="G15" i="39" s="1"/>
  <c r="J7" i="37"/>
  <c r="C7" i="38" s="1"/>
  <c r="G7" i="38" s="1"/>
  <c r="J11" i="37"/>
  <c r="C11" i="38" s="1"/>
  <c r="G11" i="38" s="1"/>
  <c r="J15" i="37"/>
  <c r="C15" i="38" s="1"/>
  <c r="G15" i="38" s="1"/>
  <c r="F15" i="36"/>
  <c r="F14" i="36"/>
  <c r="J14" i="36" s="1"/>
  <c r="C14" i="37" s="1"/>
  <c r="G14" i="37" s="1"/>
  <c r="F13" i="36"/>
  <c r="J13" i="36" s="1"/>
  <c r="C13" i="37" s="1"/>
  <c r="G13" i="37" s="1"/>
  <c r="F12" i="36"/>
  <c r="F11" i="36"/>
  <c r="F10" i="36"/>
  <c r="J10" i="36" s="1"/>
  <c r="C10" i="37" s="1"/>
  <c r="G10" i="37" s="1"/>
  <c r="F9" i="36"/>
  <c r="J9" i="36" s="1"/>
  <c r="C9" i="37" s="1"/>
  <c r="G9" i="37" s="1"/>
  <c r="F8" i="36"/>
  <c r="F7" i="36"/>
  <c r="F6" i="36"/>
  <c r="J6" i="36" s="1"/>
  <c r="C6" i="37" s="1"/>
  <c r="G6" i="37" s="1"/>
  <c r="F15" i="35"/>
  <c r="F14" i="35"/>
  <c r="J14" i="35" s="1"/>
  <c r="C14" i="36" s="1"/>
  <c r="F13" i="35"/>
  <c r="F12" i="35"/>
  <c r="J12" i="35" s="1"/>
  <c r="C12" i="36" s="1"/>
  <c r="F11" i="35"/>
  <c r="F10" i="35"/>
  <c r="J10" i="35" s="1"/>
  <c r="C10" i="36" s="1"/>
  <c r="F9" i="35"/>
  <c r="J9" i="35" s="1"/>
  <c r="F8" i="35"/>
  <c r="F7" i="35"/>
  <c r="F6" i="35"/>
  <c r="J6" i="35" s="1"/>
  <c r="C6" i="36" s="1"/>
  <c r="F15" i="11"/>
  <c r="F14" i="11"/>
  <c r="F13" i="11"/>
  <c r="F12" i="11"/>
  <c r="F11" i="11"/>
  <c r="F10" i="11"/>
  <c r="F9" i="11"/>
  <c r="F8" i="11"/>
  <c r="F7" i="11"/>
  <c r="C15" i="1"/>
  <c r="C14" i="1"/>
  <c r="C13" i="1"/>
  <c r="C12" i="1"/>
  <c r="C11" i="1"/>
  <c r="C10" i="1"/>
  <c r="E10" i="1" s="1"/>
  <c r="C9" i="1"/>
  <c r="E9" i="1" s="1"/>
  <c r="C8" i="1"/>
  <c r="C7" i="1"/>
  <c r="E7" i="1" s="1"/>
  <c r="C6" i="11"/>
  <c r="C9" i="36" l="1"/>
  <c r="G9" i="36" s="1"/>
  <c r="L16" i="42"/>
  <c r="K3" i="42" s="1"/>
  <c r="L16" i="43"/>
  <c r="K3" i="43" s="1"/>
  <c r="K16" i="43"/>
  <c r="J3" i="43" s="1"/>
  <c r="K16" i="42"/>
  <c r="J3" i="42" s="1"/>
  <c r="L16" i="41"/>
  <c r="K3" i="41" s="1"/>
  <c r="K16" i="41"/>
  <c r="J3" i="41" s="1"/>
  <c r="K16" i="40"/>
  <c r="J3" i="40" s="1"/>
  <c r="L16" i="40"/>
  <c r="K3" i="40" s="1"/>
  <c r="K16" i="39"/>
  <c r="J3" i="39" s="1"/>
  <c r="L16" i="39"/>
  <c r="K3" i="39" s="1"/>
  <c r="L16" i="38"/>
  <c r="K3" i="38" s="1"/>
  <c r="K16" i="38"/>
  <c r="J3" i="38" s="1"/>
  <c r="K16" i="37"/>
  <c r="J3" i="37" s="1"/>
  <c r="L16" i="37"/>
  <c r="K3" i="37" s="1"/>
  <c r="G12" i="36"/>
  <c r="G6" i="36"/>
  <c r="J8" i="36"/>
  <c r="C8" i="37" s="1"/>
  <c r="G8" i="37" s="1"/>
  <c r="J12" i="36"/>
  <c r="C12" i="37" s="1"/>
  <c r="G12" i="37" s="1"/>
  <c r="J7" i="36"/>
  <c r="C7" i="37" s="1"/>
  <c r="G7" i="37" s="1"/>
  <c r="G10" i="36"/>
  <c r="J11" i="36"/>
  <c r="C11" i="37" s="1"/>
  <c r="G11" i="37" s="1"/>
  <c r="G14" i="36"/>
  <c r="J15" i="36"/>
  <c r="J13" i="35"/>
  <c r="J8" i="35"/>
  <c r="J7" i="35"/>
  <c r="J11" i="35"/>
  <c r="J15" i="35"/>
  <c r="C15" i="36" l="1"/>
  <c r="G15" i="36" s="1"/>
  <c r="C7" i="36"/>
  <c r="G7" i="36" s="1"/>
  <c r="C8" i="36"/>
  <c r="G8" i="36" s="1"/>
  <c r="C11" i="36"/>
  <c r="G11" i="36" s="1"/>
  <c r="C13" i="36"/>
  <c r="G13" i="36" s="1"/>
  <c r="L16" i="36"/>
  <c r="K3" i="36" s="1"/>
  <c r="C15" i="37"/>
  <c r="G15" i="37" s="1"/>
  <c r="K16" i="36"/>
  <c r="J3" i="36" s="1"/>
  <c r="K16" i="35"/>
  <c r="J3" i="35" s="1"/>
  <c r="L16" i="35"/>
  <c r="K3" i="35" s="1"/>
  <c r="J14" i="11"/>
  <c r="C14" i="35" s="1"/>
  <c r="G14" i="35" l="1"/>
  <c r="J7" i="11"/>
  <c r="C7" i="35" s="1"/>
  <c r="G7" i="35" s="1"/>
  <c r="J8" i="11"/>
  <c r="C8" i="35" s="1"/>
  <c r="G8" i="35" s="1"/>
  <c r="J9" i="11"/>
  <c r="C9" i="35" s="1"/>
  <c r="G9" i="35" s="1"/>
  <c r="J10" i="11"/>
  <c r="C10" i="35" s="1"/>
  <c r="G10" i="35" s="1"/>
  <c r="J11" i="11"/>
  <c r="C11" i="35" s="1"/>
  <c r="G11" i="35" s="1"/>
  <c r="J12" i="11"/>
  <c r="C12" i="35" s="1"/>
  <c r="G12" i="35" s="1"/>
  <c r="J13" i="11"/>
  <c r="C13" i="35" s="1"/>
  <c r="G13" i="35" s="1"/>
  <c r="J15" i="11"/>
  <c r="C15" i="35" s="1"/>
  <c r="G15" i="35" s="1"/>
  <c r="J6" i="11"/>
  <c r="C6" i="35" s="1"/>
  <c r="G6" i="35" s="1"/>
  <c r="E8" i="1"/>
  <c r="E11" i="1"/>
  <c r="E12" i="1"/>
  <c r="E13" i="1"/>
  <c r="E14" i="1"/>
  <c r="E15" i="1"/>
  <c r="E6" i="1"/>
  <c r="C7" i="11"/>
  <c r="G7" i="11" s="1"/>
  <c r="C8" i="11"/>
  <c r="G8" i="11" s="1"/>
  <c r="C9" i="11"/>
  <c r="G9" i="11" s="1"/>
  <c r="C10" i="11"/>
  <c r="G10" i="11" s="1"/>
  <c r="C11" i="11"/>
  <c r="G11" i="11" s="1"/>
  <c r="C12" i="11"/>
  <c r="G12" i="11" s="1"/>
  <c r="C13" i="11"/>
  <c r="G13" i="11" s="1"/>
  <c r="C14" i="11"/>
  <c r="G14" i="11" s="1"/>
  <c r="C15" i="11"/>
  <c r="G15" i="11" s="1"/>
  <c r="G6" i="11"/>
  <c r="D7" i="11"/>
  <c r="M7" i="11" s="1"/>
  <c r="D7" i="35" s="1"/>
  <c r="D8" i="11"/>
  <c r="M8" i="11" s="1"/>
  <c r="D8" i="35" s="1"/>
  <c r="D9" i="11"/>
  <c r="M9" i="11" s="1"/>
  <c r="D9" i="35" s="1"/>
  <c r="D10" i="11"/>
  <c r="M10" i="11" s="1"/>
  <c r="D10" i="35" s="1"/>
  <c r="D11" i="11"/>
  <c r="M11" i="11" s="1"/>
  <c r="D11" i="35" s="1"/>
  <c r="D12" i="11"/>
  <c r="M12" i="11" s="1"/>
  <c r="D12" i="35" s="1"/>
  <c r="D13" i="11"/>
  <c r="M13" i="11" s="1"/>
  <c r="D13" i="35" s="1"/>
  <c r="D14" i="11"/>
  <c r="M14" i="11" s="1"/>
  <c r="D14" i="35" s="1"/>
  <c r="M14" i="35" s="1"/>
  <c r="D14" i="36" s="1"/>
  <c r="D15" i="11"/>
  <c r="M15" i="11" s="1"/>
  <c r="D15" i="35" s="1"/>
  <c r="D6" i="11"/>
  <c r="M6" i="11" l="1"/>
  <c r="D6" i="35" s="1"/>
  <c r="E6" i="11"/>
  <c r="M14" i="36"/>
  <c r="D14" i="37" s="1"/>
  <c r="E14" i="36"/>
  <c r="M10" i="35"/>
  <c r="D10" i="36" s="1"/>
  <c r="E10" i="35"/>
  <c r="M12" i="35"/>
  <c r="D12" i="36" s="1"/>
  <c r="E12" i="35"/>
  <c r="E15" i="35"/>
  <c r="M15" i="35"/>
  <c r="D15" i="36" s="1"/>
  <c r="M13" i="35"/>
  <c r="D13" i="36" s="1"/>
  <c r="E13" i="35"/>
  <c r="E9" i="35"/>
  <c r="M9" i="35"/>
  <c r="D9" i="36" s="1"/>
  <c r="E14" i="35"/>
  <c r="M7" i="35"/>
  <c r="D7" i="36" s="1"/>
  <c r="E7" i="35"/>
  <c r="M8" i="35"/>
  <c r="D8" i="36" s="1"/>
  <c r="E8" i="35"/>
  <c r="M11" i="35"/>
  <c r="E11" i="35"/>
  <c r="E16" i="1"/>
  <c r="B3" i="1" s="1"/>
  <c r="L16" i="11"/>
  <c r="K16" i="11"/>
  <c r="E8" i="11"/>
  <c r="E12" i="11"/>
  <c r="E14" i="11"/>
  <c r="E10" i="11"/>
  <c r="E9" i="11"/>
  <c r="E15" i="11"/>
  <c r="E13" i="11"/>
  <c r="E11" i="11"/>
  <c r="E7" i="11"/>
  <c r="M16" i="11" l="1"/>
  <c r="E16" i="11"/>
  <c r="L3" i="11" s="1"/>
  <c r="M13" i="36"/>
  <c r="D13" i="37" s="1"/>
  <c r="E13" i="36"/>
  <c r="M12" i="36"/>
  <c r="D12" i="37" s="1"/>
  <c r="E12" i="36"/>
  <c r="M14" i="37"/>
  <c r="D14" i="38" s="1"/>
  <c r="E14" i="37"/>
  <c r="M9" i="36"/>
  <c r="D9" i="37" s="1"/>
  <c r="E9" i="36"/>
  <c r="M15" i="36"/>
  <c r="D15" i="37" s="1"/>
  <c r="E15" i="36"/>
  <c r="M10" i="36"/>
  <c r="D10" i="37" s="1"/>
  <c r="E10" i="36"/>
  <c r="M6" i="35"/>
  <c r="D6" i="36" s="1"/>
  <c r="E6" i="35"/>
  <c r="E16" i="35" s="1"/>
  <c r="E7" i="36"/>
  <c r="M7" i="36"/>
  <c r="D7" i="37" s="1"/>
  <c r="M8" i="36"/>
  <c r="D8" i="37" s="1"/>
  <c r="E8" i="36"/>
  <c r="D11" i="36"/>
  <c r="J3" i="11"/>
  <c r="K3" i="11"/>
  <c r="M16" i="35" l="1"/>
  <c r="L3" i="35"/>
  <c r="M10" i="37"/>
  <c r="D10" i="38" s="1"/>
  <c r="E10" i="37"/>
  <c r="M9" i="37"/>
  <c r="D9" i="38" s="1"/>
  <c r="E9" i="37"/>
  <c r="M12" i="37"/>
  <c r="D12" i="38" s="1"/>
  <c r="E12" i="37"/>
  <c r="M6" i="36"/>
  <c r="D6" i="37" s="1"/>
  <c r="E6" i="36"/>
  <c r="M15" i="37"/>
  <c r="D15" i="38" s="1"/>
  <c r="E15" i="37"/>
  <c r="M14" i="38"/>
  <c r="D14" i="39" s="1"/>
  <c r="E14" i="38"/>
  <c r="M13" i="37"/>
  <c r="D13" i="38" s="1"/>
  <c r="E13" i="37"/>
  <c r="M7" i="37"/>
  <c r="D7" i="38" s="1"/>
  <c r="E7" i="37"/>
  <c r="M8" i="37"/>
  <c r="D8" i="38" s="1"/>
  <c r="E8" i="37"/>
  <c r="E11" i="36"/>
  <c r="M11" i="36"/>
  <c r="M3" i="11"/>
  <c r="I3" i="11"/>
  <c r="E16" i="36" l="1"/>
  <c r="L3" i="36" s="1"/>
  <c r="I3" i="35"/>
  <c r="M3" i="35"/>
  <c r="E6" i="37"/>
  <c r="M6" i="37"/>
  <c r="D6" i="38" s="1"/>
  <c r="M9" i="38"/>
  <c r="D9" i="39" s="1"/>
  <c r="E9" i="38"/>
  <c r="M14" i="39"/>
  <c r="D14" i="40" s="1"/>
  <c r="E14" i="39"/>
  <c r="M13" i="38"/>
  <c r="D13" i="39" s="1"/>
  <c r="E13" i="38"/>
  <c r="E15" i="38"/>
  <c r="M15" i="38"/>
  <c r="D15" i="39" s="1"/>
  <c r="M12" i="38"/>
  <c r="D12" i="39" s="1"/>
  <c r="E12" i="38"/>
  <c r="E10" i="38"/>
  <c r="M10" i="38"/>
  <c r="D10" i="39" s="1"/>
  <c r="M7" i="38"/>
  <c r="D7" i="39" s="1"/>
  <c r="E7" i="38"/>
  <c r="M8" i="38"/>
  <c r="D8" i="39" s="1"/>
  <c r="E8" i="38"/>
  <c r="D11" i="37"/>
  <c r="M16" i="36"/>
  <c r="I3" i="36" l="1"/>
  <c r="M3" i="36"/>
  <c r="M13" i="39"/>
  <c r="D13" i="40" s="1"/>
  <c r="E13" i="39"/>
  <c r="M9" i="39"/>
  <c r="D9" i="40" s="1"/>
  <c r="M9" i="40" s="1"/>
  <c r="E9" i="39"/>
  <c r="M10" i="39"/>
  <c r="D10" i="40" s="1"/>
  <c r="E10" i="39"/>
  <c r="E15" i="39"/>
  <c r="M15" i="39"/>
  <c r="D15" i="40" s="1"/>
  <c r="E6" i="38"/>
  <c r="M6" i="38"/>
  <c r="D6" i="39" s="1"/>
  <c r="M12" i="39"/>
  <c r="D12" i="40" s="1"/>
  <c r="E12" i="39"/>
  <c r="M14" i="40"/>
  <c r="D14" i="41" s="1"/>
  <c r="E14" i="40"/>
  <c r="E7" i="39"/>
  <c r="M7" i="39"/>
  <c r="D7" i="40" s="1"/>
  <c r="M8" i="39"/>
  <c r="D8" i="40" s="1"/>
  <c r="E8" i="39"/>
  <c r="E11" i="37"/>
  <c r="E16" i="37" s="1"/>
  <c r="M11" i="37"/>
  <c r="L3" i="37" l="1"/>
  <c r="M15" i="40"/>
  <c r="D15" i="41" s="1"/>
  <c r="E15" i="40"/>
  <c r="E9" i="40"/>
  <c r="E6" i="39"/>
  <c r="M6" i="39"/>
  <c r="D6" i="40" s="1"/>
  <c r="M12" i="40"/>
  <c r="D12" i="41" s="1"/>
  <c r="E12" i="40"/>
  <c r="M14" i="41"/>
  <c r="D14" i="42" s="1"/>
  <c r="E14" i="41"/>
  <c r="M10" i="40"/>
  <c r="D10" i="41" s="1"/>
  <c r="E10" i="40"/>
  <c r="M13" i="40"/>
  <c r="D13" i="41" s="1"/>
  <c r="E13" i="40"/>
  <c r="E7" i="40"/>
  <c r="M7" i="40"/>
  <c r="D7" i="41" s="1"/>
  <c r="M8" i="40"/>
  <c r="D8" i="41" s="1"/>
  <c r="E8" i="40"/>
  <c r="D11" i="38"/>
  <c r="M16" i="37"/>
  <c r="D9" i="41"/>
  <c r="I3" i="37" l="1"/>
  <c r="M3" i="37"/>
  <c r="M13" i="41"/>
  <c r="D13" i="42" s="1"/>
  <c r="E13" i="41"/>
  <c r="M14" i="42"/>
  <c r="D14" i="43" s="1"/>
  <c r="E14" i="42"/>
  <c r="M10" i="41"/>
  <c r="D10" i="42" s="1"/>
  <c r="E10" i="41"/>
  <c r="M12" i="41"/>
  <c r="D12" i="42" s="1"/>
  <c r="E12" i="41"/>
  <c r="E6" i="40"/>
  <c r="M6" i="40"/>
  <c r="D6" i="41" s="1"/>
  <c r="E15" i="41"/>
  <c r="M15" i="41"/>
  <c r="D15" i="42" s="1"/>
  <c r="M7" i="41"/>
  <c r="D7" i="42" s="1"/>
  <c r="E7" i="41"/>
  <c r="M8" i="41"/>
  <c r="D8" i="42" s="1"/>
  <c r="E8" i="41"/>
  <c r="M11" i="38"/>
  <c r="E11" i="38"/>
  <c r="E16" i="38" s="1"/>
  <c r="L3" i="38" s="1"/>
  <c r="M9" i="41"/>
  <c r="E9" i="41"/>
  <c r="M15" i="42" l="1"/>
  <c r="D15" i="43" s="1"/>
  <c r="E15" i="42"/>
  <c r="M14" i="43"/>
  <c r="E14" i="43"/>
  <c r="M6" i="41"/>
  <c r="D6" i="42" s="1"/>
  <c r="E6" i="41"/>
  <c r="M12" i="42"/>
  <c r="D12" i="43" s="1"/>
  <c r="E12" i="42"/>
  <c r="M10" i="42"/>
  <c r="D10" i="43" s="1"/>
  <c r="E10" i="42"/>
  <c r="M13" i="42"/>
  <c r="D13" i="43" s="1"/>
  <c r="E13" i="42"/>
  <c r="E7" i="42"/>
  <c r="M7" i="42"/>
  <c r="D7" i="43" s="1"/>
  <c r="M8" i="42"/>
  <c r="D8" i="43" s="1"/>
  <c r="E8" i="42"/>
  <c r="M3" i="38"/>
  <c r="D11" i="39"/>
  <c r="M16" i="38"/>
  <c r="I3" i="38" s="1"/>
  <c r="D9" i="42"/>
  <c r="M12" i="43" l="1"/>
  <c r="E12" i="43"/>
  <c r="M13" i="43"/>
  <c r="E13" i="43"/>
  <c r="M10" i="43"/>
  <c r="E10" i="43"/>
  <c r="E6" i="42"/>
  <c r="M6" i="42"/>
  <c r="D6" i="43" s="1"/>
  <c r="M15" i="43"/>
  <c r="E15" i="43"/>
  <c r="M7" i="43"/>
  <c r="E7" i="43"/>
  <c r="M8" i="43"/>
  <c r="E8" i="43"/>
  <c r="M11" i="39"/>
  <c r="E11" i="39"/>
  <c r="E16" i="39" s="1"/>
  <c r="M9" i="42"/>
  <c r="E9" i="42"/>
  <c r="L3" i="39" l="1"/>
  <c r="E6" i="43"/>
  <c r="M6" i="43"/>
  <c r="D11" i="40"/>
  <c r="M16" i="39"/>
  <c r="D9" i="43"/>
  <c r="I3" i="39" l="1"/>
  <c r="M3" i="39"/>
  <c r="E11" i="40"/>
  <c r="E16" i="40" s="1"/>
  <c r="M11" i="40"/>
  <c r="M9" i="43"/>
  <c r="E9" i="43"/>
  <c r="L3" i="40" l="1"/>
  <c r="D11" i="41"/>
  <c r="M16" i="40"/>
  <c r="I3" i="40" l="1"/>
  <c r="M3" i="40"/>
  <c r="M11" i="41"/>
  <c r="E11" i="41"/>
  <c r="E16" i="41" s="1"/>
  <c r="L3" i="41" l="1"/>
  <c r="D11" i="42"/>
  <c r="M16" i="41"/>
  <c r="M3" i="41" l="1"/>
  <c r="I3" i="41"/>
  <c r="M11" i="42"/>
  <c r="E11" i="42"/>
  <c r="E16" i="42" s="1"/>
  <c r="L3" i="42" l="1"/>
  <c r="D11" i="43"/>
  <c r="M16" i="42"/>
  <c r="M3" i="42" l="1"/>
  <c r="I3" i="42"/>
  <c r="M11" i="43"/>
  <c r="M16" i="43" s="1"/>
  <c r="E11" i="43"/>
  <c r="E16" i="43" s="1"/>
  <c r="L3" i="43" s="1"/>
  <c r="D3" i="43" l="1"/>
  <c r="M3" i="43"/>
  <c r="I3" i="4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<sst xmlns="http://schemas.openxmlformats.org/spreadsheetml/2006/main" count="452" uniqueCount="52">
  <si>
    <t>종목명</t>
    <phoneticPr fontId="2" type="noConversion"/>
  </si>
  <si>
    <t>주식수</t>
    <phoneticPr fontId="2" type="noConversion"/>
  </si>
  <si>
    <t>수익률</t>
    <phoneticPr fontId="2" type="noConversion"/>
  </si>
  <si>
    <t>예수금</t>
    <phoneticPr fontId="2" type="noConversion"/>
  </si>
  <si>
    <t>A 엔터</t>
  </si>
  <si>
    <t>C IT</t>
  </si>
  <si>
    <t>H 뷰티</t>
  </si>
  <si>
    <t>I 화학</t>
  </si>
  <si>
    <t>합계</t>
    <phoneticPr fontId="2" type="noConversion"/>
  </si>
  <si>
    <t>총매입</t>
    <phoneticPr fontId="2" type="noConversion"/>
  </si>
  <si>
    <t>총평가금액</t>
    <phoneticPr fontId="2" type="noConversion"/>
  </si>
  <si>
    <t>작년대비</t>
    <phoneticPr fontId="2" type="noConversion"/>
  </si>
  <si>
    <t>평가금액</t>
    <phoneticPr fontId="2" type="noConversion"/>
  </si>
  <si>
    <t>매도</t>
    <phoneticPr fontId="2" type="noConversion"/>
  </si>
  <si>
    <t>매수</t>
    <phoneticPr fontId="2" type="noConversion"/>
  </si>
  <si>
    <t>총매도금액</t>
    <phoneticPr fontId="2" type="noConversion"/>
  </si>
  <si>
    <t>총매수금액</t>
    <phoneticPr fontId="2" type="noConversion"/>
  </si>
  <si>
    <t>대출금</t>
    <phoneticPr fontId="2" type="noConversion"/>
  </si>
  <si>
    <t>A 엔터</t>
    <phoneticPr fontId="2" type="noConversion"/>
  </si>
  <si>
    <t>등락률</t>
    <phoneticPr fontId="2" type="noConversion"/>
  </si>
  <si>
    <t>B 여행</t>
    <phoneticPr fontId="2" type="noConversion"/>
  </si>
  <si>
    <t>하나투어</t>
    <phoneticPr fontId="2" type="noConversion"/>
  </si>
  <si>
    <t>C IT</t>
    <phoneticPr fontId="2" type="noConversion"/>
  </si>
  <si>
    <t>LG전자</t>
    <phoneticPr fontId="2" type="noConversion"/>
  </si>
  <si>
    <t>D 바이오</t>
    <phoneticPr fontId="2" type="noConversion"/>
  </si>
  <si>
    <t>LG화학</t>
    <phoneticPr fontId="2" type="noConversion"/>
  </si>
  <si>
    <t>E 자동차</t>
    <phoneticPr fontId="2" type="noConversion"/>
  </si>
  <si>
    <t>현대차</t>
    <phoneticPr fontId="2" type="noConversion"/>
  </si>
  <si>
    <t>F 통신</t>
    <phoneticPr fontId="2" type="noConversion"/>
  </si>
  <si>
    <t>SK텔레콤</t>
    <phoneticPr fontId="2" type="noConversion"/>
  </si>
  <si>
    <t>G 조선</t>
    <phoneticPr fontId="2" type="noConversion"/>
  </si>
  <si>
    <t>한국조선해양</t>
    <phoneticPr fontId="2" type="noConversion"/>
  </si>
  <si>
    <t>H 뷰티</t>
    <phoneticPr fontId="2" type="noConversion"/>
  </si>
  <si>
    <t>LG생활건강</t>
    <phoneticPr fontId="2" type="noConversion"/>
  </si>
  <si>
    <t>I 화학</t>
    <phoneticPr fontId="2" type="noConversion"/>
  </si>
  <si>
    <t>롯데케미칼</t>
    <phoneticPr fontId="2" type="noConversion"/>
  </si>
  <si>
    <t>J 식품</t>
    <phoneticPr fontId="2" type="noConversion"/>
  </si>
  <si>
    <t>KT&amp;G</t>
    <phoneticPr fontId="2" type="noConversion"/>
  </si>
  <si>
    <t>B 여행</t>
    <phoneticPr fontId="2" type="noConversion"/>
  </si>
  <si>
    <t>D 바이오</t>
    <phoneticPr fontId="2" type="noConversion"/>
  </si>
  <si>
    <t>E 자동차</t>
    <phoneticPr fontId="2" type="noConversion"/>
  </si>
  <si>
    <t>F 통신</t>
    <phoneticPr fontId="2" type="noConversion"/>
  </si>
  <si>
    <t>G 조선</t>
    <phoneticPr fontId="2" type="noConversion"/>
  </si>
  <si>
    <t>J 식품</t>
    <phoneticPr fontId="2" type="noConversion"/>
  </si>
  <si>
    <t>최종금액</t>
    <phoneticPr fontId="2" type="noConversion"/>
  </si>
  <si>
    <t>대출금총액</t>
    <phoneticPr fontId="2" type="noConversion"/>
  </si>
  <si>
    <t>대출금이자</t>
    <phoneticPr fontId="2" type="noConversion"/>
  </si>
  <si>
    <t>원금</t>
    <phoneticPr fontId="2" type="noConversion"/>
  </si>
  <si>
    <t>종목</t>
  </si>
  <si>
    <t>에스엠</t>
    <phoneticPr fontId="2" type="noConversion"/>
  </si>
  <si>
    <t>주가</t>
  </si>
  <si>
    <t>현재주가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</si>
</sst>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Red]\▲0%;[Blue]\▼0%"/>
    <numFmt numFmtId="177" formatCode="[Red]0;[Blue]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3"/>
      <color rgb="FF4623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4623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/>
      </patternFill>
    </fill>
    <fill>
      <patternFill patternType="solid">
        <fgColor rgb="FF4623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6" fillId="4" borderId="1" xfId="3" applyFont="1" applyBorder="1" applyAlignment="1">
      <alignment horizontal="center" vertical="center"/>
    </xf>
    <xf numFmtId="0" fontId="7" fillId="3" borderId="1" xfId="2" applyFont="1" applyBorder="1" applyAlignment="1">
      <alignment horizontal="center" vertical="center"/>
    </xf>
    <xf numFmtId="41" fontId="6" fillId="4" borderId="1" xfId="3" applyNumberFormat="1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41" fontId="0" fillId="0" borderId="1" xfId="1" applyFont="1" applyBorder="1" applyAlignment="1" applyProtection="1">
      <alignment horizontal="center" vertical="center"/>
      <protection locked="0"/>
    </xf>
    <xf numFmtId="0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Alignment="1" applyProtection="1">
      <alignment horizontal="center" vertical="center"/>
      <protection hidden="1"/>
    </xf>
    <xf numFmtId="41" fontId="8" fillId="0" borderId="1" xfId="0" applyNumberFormat="1" applyFont="1" applyBorder="1" applyAlignment="1">
      <alignment horizontal="center" vertical="center"/>
    </xf>
    <xf numFmtId="41" fontId="3" fillId="6" borderId="1" xfId="1" applyFont="1" applyFill="1" applyBorder="1" applyAlignment="1">
      <alignment horizontal="center" vertical="center"/>
    </xf>
    <xf numFmtId="41" fontId="10" fillId="6" borderId="1" xfId="1" applyFont="1" applyFill="1" applyBorder="1" applyAlignment="1">
      <alignment horizontal="center" vertical="center"/>
    </xf>
    <xf numFmtId="41" fontId="11" fillId="0" borderId="1" xfId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0" fillId="6" borderId="1" xfId="0" applyFont="1" applyFill="1" applyBorder="1" applyAlignment="1">
      <alignment horizontal="center" vertical="center"/>
    </xf>
    <xf numFmtId="41" fontId="10" fillId="2" borderId="1" xfId="1" applyFont="1" applyFill="1" applyBorder="1" applyAlignment="1">
      <alignment horizontal="center" vertical="center"/>
    </xf>
    <xf numFmtId="41" fontId="12" fillId="7" borderId="1" xfId="4" applyNumberFormat="1" applyFont="1" applyFill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41" fontId="14" fillId="7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5">
    <cellStyle name="강조색5" xfId="4" builtinId="45"/>
    <cellStyle name="나쁨" xfId="3" builtinId="27"/>
    <cellStyle name="쉼표 [0]" xfId="1" builtinId="6"/>
    <cellStyle name="좋음" xfId="2" builtinId="26"/>
    <cellStyle name="표준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462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&#51452;&#49885;&#44172;&#51076;2026.xls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1</xdr:row>
      <xdr:rowOff>9525</xdr:rowOff>
    </xdr:from>
    <xdr:to>
      <xdr:col>7</xdr:col>
      <xdr:colOff>457200</xdr:colOff>
      <xdr:row>3</xdr:row>
      <xdr:rowOff>38100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176701-6C91-43F0-A84E-341EBCF89052}"/>
            </a:ext>
          </a:extLst>
        </xdr:cNvPr>
        <xdr:cNvSpPr/>
      </xdr:nvSpPr>
      <xdr:spPr>
        <a:xfrm>
          <a:off x="6276975" y="219075"/>
          <a:ext cx="1152525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B750E3-EACA-4431-85DE-3C1E11EF0F0A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6A71A-9B65-4803-B246-46866D88C1A8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127BB-2C8D-4769-87B7-403C5E1E0142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47C41F-7853-4C22-A34D-FB33CF1087A3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B60BD7-5E9F-49CA-A6B2-A3AC563D8150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1D7969-5FBB-4F3E-8552-62FE484606D5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CF4FEF-2C2D-4CA1-852D-43C4ACC0D97F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DE92D-8AEA-4191-A761-EA977296184E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4</xdr:col>
      <xdr:colOff>9525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90A946-E528-4181-8812-F9F895CFFD07}"/>
            </a:ext>
          </a:extLst>
        </xdr:cNvPr>
        <xdr:cNvSpPr/>
      </xdr:nvSpPr>
      <xdr:spPr>
        <a:xfrm>
          <a:off x="28860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6</xdr:col>
      <xdr:colOff>571500</xdr:colOff>
      <xdr:row>3</xdr:row>
      <xdr:rowOff>28575</xdr:rowOff>
    </xdr:to>
    <xdr:sp macro="" textlink="">
      <xdr:nvSpPr>
        <xdr:cNvPr id="2" name="직사각형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F1FC32-5CF9-49E0-8D5A-F2F85A925FE7}"/>
            </a:ext>
          </a:extLst>
        </xdr:cNvPr>
        <xdr:cNvSpPr/>
      </xdr:nvSpPr>
      <xdr:spPr>
        <a:xfrm>
          <a:off x="5248275" y="209550"/>
          <a:ext cx="1390650" cy="447675"/>
        </a:xfrm>
        <a:prstGeom prst="rect">
          <a:avLst/>
        </a:prstGeom>
        <a:solidFill>
          <a:srgbClr val="462300"/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500" b="1">
              <a:latin typeface="+mj-ea"/>
              <a:ea typeface="+mj-ea"/>
            </a:rPr>
            <a:t>Home</a:t>
          </a:r>
          <a:endParaRPr lang="ko-KR" altLang="en-US" sz="1500" b="1">
            <a:latin typeface="+mj-ea"/>
            <a:ea typeface="+mj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452;&#49885;&#44172;&#51076;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주식게임"/>
      <sheetName val="종목"/>
    </sheetNames>
    <sheetDataSet>
      <sheetData sheetId="0"/>
      <sheetData sheetId="1">
        <row r="3">
          <cell r="B3">
            <v>2015</v>
          </cell>
          <cell r="C3">
            <v>49700</v>
          </cell>
          <cell r="D3" t="str">
            <v>11월</v>
          </cell>
          <cell r="G3">
            <v>2015</v>
          </cell>
          <cell r="H3">
            <v>60500</v>
          </cell>
          <cell r="I3" t="str">
            <v>7월</v>
          </cell>
          <cell r="L3">
            <v>2015</v>
          </cell>
          <cell r="M3">
            <v>39300</v>
          </cell>
          <cell r="N3" t="str">
            <v>8월</v>
          </cell>
        </row>
        <row r="4">
          <cell r="B4">
            <v>2016</v>
          </cell>
          <cell r="C4">
            <v>23800</v>
          </cell>
          <cell r="D4" t="str">
            <v>11월</v>
          </cell>
          <cell r="G4">
            <v>2016</v>
          </cell>
          <cell r="H4">
            <v>205000</v>
          </cell>
          <cell r="I4" t="str">
            <v>10월</v>
          </cell>
          <cell r="L4">
            <v>2016</v>
          </cell>
          <cell r="M4">
            <v>44700</v>
          </cell>
          <cell r="N4" t="str">
            <v>12월</v>
          </cell>
        </row>
        <row r="5">
          <cell r="B5">
            <v>2017</v>
          </cell>
          <cell r="C5">
            <v>39150</v>
          </cell>
          <cell r="D5" t="str">
            <v>12월</v>
          </cell>
          <cell r="G5">
            <v>2017</v>
          </cell>
          <cell r="H5">
            <v>62500</v>
          </cell>
          <cell r="I5" t="str">
            <v>1월</v>
          </cell>
          <cell r="L5">
            <v>2017</v>
          </cell>
          <cell r="M5">
            <v>109500</v>
          </cell>
          <cell r="N5" t="str">
            <v>12월</v>
          </cell>
        </row>
        <row r="6">
          <cell r="B6">
            <v>2018</v>
          </cell>
          <cell r="C6">
            <v>156900</v>
          </cell>
          <cell r="D6" t="str">
            <v>11월</v>
          </cell>
          <cell r="G6">
            <v>2018</v>
          </cell>
          <cell r="H6">
            <v>55900</v>
          </cell>
          <cell r="I6" t="str">
            <v>10월</v>
          </cell>
          <cell r="L6">
            <v>2018</v>
          </cell>
          <cell r="M6">
            <v>58800</v>
          </cell>
          <cell r="N6" t="str">
            <v>10월</v>
          </cell>
        </row>
        <row r="7">
          <cell r="B7">
            <v>2019</v>
          </cell>
          <cell r="C7">
            <v>27000</v>
          </cell>
          <cell r="D7" t="str">
            <v>8월</v>
          </cell>
          <cell r="G7">
            <v>2019</v>
          </cell>
          <cell r="H7">
            <v>76400</v>
          </cell>
          <cell r="I7" t="str">
            <v>12월</v>
          </cell>
          <cell r="L7">
            <v>2019</v>
          </cell>
          <cell r="M7">
            <v>58500</v>
          </cell>
          <cell r="N7" t="str">
            <v>8월</v>
          </cell>
        </row>
        <row r="8">
          <cell r="B8">
            <v>2020</v>
          </cell>
          <cell r="C8">
            <v>16350</v>
          </cell>
          <cell r="D8" t="str">
            <v>3월</v>
          </cell>
          <cell r="G8">
            <v>2020</v>
          </cell>
          <cell r="H8">
            <v>26600</v>
          </cell>
          <cell r="I8" t="str">
            <v>3월</v>
          </cell>
          <cell r="L8">
            <v>2020</v>
          </cell>
          <cell r="M8">
            <v>236500</v>
          </cell>
          <cell r="N8" t="str">
            <v>12월</v>
          </cell>
        </row>
        <row r="9">
          <cell r="B9">
            <v>2021</v>
          </cell>
          <cell r="C9">
            <v>85000</v>
          </cell>
          <cell r="D9" t="str">
            <v>10월</v>
          </cell>
          <cell r="G9">
            <v>2021</v>
          </cell>
          <cell r="H9">
            <v>94300</v>
          </cell>
          <cell r="I9" t="str">
            <v>6월</v>
          </cell>
          <cell r="L9">
            <v>2021</v>
          </cell>
          <cell r="M9">
            <v>115000</v>
          </cell>
          <cell r="N9" t="str">
            <v>11월</v>
          </cell>
        </row>
        <row r="10">
          <cell r="B10">
            <v>2022</v>
          </cell>
          <cell r="C10">
            <v>90000</v>
          </cell>
          <cell r="D10" t="str">
            <v>4월</v>
          </cell>
          <cell r="G10">
            <v>2022</v>
          </cell>
          <cell r="H10">
            <v>47150</v>
          </cell>
          <cell r="I10" t="str">
            <v>11월</v>
          </cell>
          <cell r="L10">
            <v>2022</v>
          </cell>
          <cell r="M10">
            <v>77200</v>
          </cell>
          <cell r="N10" t="str">
            <v>10월</v>
          </cell>
        </row>
        <row r="11">
          <cell r="B11">
            <v>2023</v>
          </cell>
          <cell r="C11">
            <v>161200</v>
          </cell>
          <cell r="D11" t="str">
            <v>3월</v>
          </cell>
          <cell r="G11">
            <v>2023</v>
          </cell>
          <cell r="H11">
            <v>53000</v>
          </cell>
          <cell r="I11" t="str">
            <v>8월</v>
          </cell>
          <cell r="L11">
            <v>2023</v>
          </cell>
          <cell r="M11">
            <v>132400</v>
          </cell>
          <cell r="N11" t="str">
            <v>7월</v>
          </cell>
        </row>
        <row r="12">
          <cell r="B12">
            <v>2024</v>
          </cell>
          <cell r="C12">
            <v>55100</v>
          </cell>
          <cell r="D12" t="str">
            <v>9월</v>
          </cell>
          <cell r="G12">
            <v>2024</v>
          </cell>
          <cell r="H12">
            <v>270600</v>
          </cell>
          <cell r="I12" t="str">
            <v>4월</v>
          </cell>
          <cell r="L12">
            <v>2024</v>
          </cell>
          <cell r="M12">
            <v>86500</v>
          </cell>
          <cell r="N12" t="str">
            <v>8월</v>
          </cell>
        </row>
        <row r="13">
          <cell r="B13">
            <v>2025</v>
          </cell>
          <cell r="C13">
            <v>82700</v>
          </cell>
          <cell r="D13" t="str">
            <v>2월</v>
          </cell>
          <cell r="G13">
            <v>2025</v>
          </cell>
          <cell r="H13">
            <v>58600</v>
          </cell>
          <cell r="I13" t="str">
            <v>2월</v>
          </cell>
          <cell r="L13">
            <v>2025</v>
          </cell>
          <cell r="N13" t="str">
            <v>4월</v>
          </cell>
        </row>
        <row r="16">
          <cell r="B16">
            <v>2015</v>
          </cell>
          <cell r="C16">
            <v>35000</v>
          </cell>
          <cell r="D16" t="str">
            <v>12월</v>
          </cell>
          <cell r="G16">
            <v>2015</v>
          </cell>
          <cell r="H16">
            <v>123000</v>
          </cell>
          <cell r="I16" t="str">
            <v>7월</v>
          </cell>
          <cell r="L16">
            <v>2015</v>
          </cell>
          <cell r="M16">
            <v>42800</v>
          </cell>
          <cell r="N16" t="str">
            <v>12월</v>
          </cell>
        </row>
        <row r="17">
          <cell r="B17">
            <v>2016</v>
          </cell>
          <cell r="C17">
            <v>108000</v>
          </cell>
          <cell r="D17" t="str">
            <v>11월</v>
          </cell>
          <cell r="G17">
            <v>2016</v>
          </cell>
          <cell r="H17">
            <v>126500</v>
          </cell>
          <cell r="I17" t="str">
            <v>2월</v>
          </cell>
          <cell r="L17">
            <v>2016</v>
          </cell>
          <cell r="M17">
            <v>38300</v>
          </cell>
          <cell r="N17" t="str">
            <v>1월</v>
          </cell>
        </row>
        <row r="18">
          <cell r="B18">
            <v>2017</v>
          </cell>
          <cell r="C18">
            <v>196000</v>
          </cell>
          <cell r="D18" t="str">
            <v>11월</v>
          </cell>
          <cell r="G18">
            <v>2017</v>
          </cell>
          <cell r="H18">
            <v>133000</v>
          </cell>
          <cell r="I18" t="str">
            <v>9월</v>
          </cell>
          <cell r="L18">
            <v>2017</v>
          </cell>
          <cell r="M18">
            <v>57600</v>
          </cell>
          <cell r="N18" t="str">
            <v>8월</v>
          </cell>
        </row>
        <row r="19">
          <cell r="B19">
            <v>2018</v>
          </cell>
          <cell r="C19">
            <v>374000</v>
          </cell>
          <cell r="D19" t="str">
            <v>10월</v>
          </cell>
          <cell r="G19">
            <v>2018</v>
          </cell>
          <cell r="H19">
            <v>92500</v>
          </cell>
          <cell r="I19" t="str">
            <v>11월</v>
          </cell>
          <cell r="L19">
            <v>2018</v>
          </cell>
          <cell r="M19">
            <v>58200</v>
          </cell>
          <cell r="N19" t="str">
            <v>11월</v>
          </cell>
        </row>
        <row r="20">
          <cell r="B20">
            <v>2019</v>
          </cell>
          <cell r="C20">
            <v>125000</v>
          </cell>
          <cell r="D20" t="str">
            <v>10월</v>
          </cell>
          <cell r="G20">
            <v>2019</v>
          </cell>
          <cell r="H20">
            <v>143500</v>
          </cell>
          <cell r="I20" t="str">
            <v>6월</v>
          </cell>
          <cell r="L20">
            <v>2019</v>
          </cell>
          <cell r="M20">
            <v>458000</v>
          </cell>
          <cell r="N20" t="str">
            <v>8월</v>
          </cell>
        </row>
        <row r="21">
          <cell r="B21">
            <v>2020</v>
          </cell>
          <cell r="C21">
            <v>565000</v>
          </cell>
          <cell r="D21" t="str">
            <v>12월</v>
          </cell>
          <cell r="G21">
            <v>2020</v>
          </cell>
          <cell r="H21">
            <v>199000</v>
          </cell>
          <cell r="I21" t="str">
            <v>12월</v>
          </cell>
          <cell r="L21">
            <v>2020</v>
          </cell>
          <cell r="M21">
            <v>50300</v>
          </cell>
          <cell r="N21" t="str">
            <v>8월</v>
          </cell>
        </row>
        <row r="22">
          <cell r="B22">
            <v>2021</v>
          </cell>
          <cell r="C22">
            <v>185000</v>
          </cell>
          <cell r="D22" t="str">
            <v>12월</v>
          </cell>
          <cell r="G22">
            <v>2021</v>
          </cell>
          <cell r="H22">
            <v>289000</v>
          </cell>
          <cell r="I22" t="str">
            <v>1월</v>
          </cell>
          <cell r="L22">
            <v>2021</v>
          </cell>
          <cell r="M22">
            <v>47000</v>
          </cell>
          <cell r="N22" t="str">
            <v>1월</v>
          </cell>
        </row>
        <row r="23">
          <cell r="B23">
            <v>2022</v>
          </cell>
          <cell r="C23">
            <v>131000</v>
          </cell>
          <cell r="D23" t="str">
            <v>3월</v>
          </cell>
          <cell r="G23">
            <v>2022</v>
          </cell>
          <cell r="H23">
            <v>160000</v>
          </cell>
          <cell r="I23" t="str">
            <v>11월</v>
          </cell>
          <cell r="L23">
            <v>2022</v>
          </cell>
          <cell r="M23">
            <v>61900</v>
          </cell>
          <cell r="N23" t="str">
            <v>4월</v>
          </cell>
        </row>
        <row r="24">
          <cell r="B24">
            <v>2023</v>
          </cell>
          <cell r="C24">
            <v>203000</v>
          </cell>
          <cell r="D24" t="str">
            <v>4월</v>
          </cell>
          <cell r="G24">
            <v>2023</v>
          </cell>
          <cell r="H24">
            <v>211500</v>
          </cell>
          <cell r="I24" t="str">
            <v>5월</v>
          </cell>
          <cell r="L24">
            <v>2023</v>
          </cell>
          <cell r="M24">
            <v>43300</v>
          </cell>
          <cell r="N24" t="str">
            <v>7월</v>
          </cell>
        </row>
        <row r="25">
          <cell r="B25">
            <v>2024</v>
          </cell>
          <cell r="C25">
            <v>215000</v>
          </cell>
          <cell r="D25" t="str">
            <v>12월</v>
          </cell>
          <cell r="G25">
            <v>2024</v>
          </cell>
          <cell r="H25">
            <v>299500</v>
          </cell>
          <cell r="I25" t="str">
            <v>7월</v>
          </cell>
          <cell r="L25">
            <v>2024</v>
          </cell>
          <cell r="M25">
            <v>61900</v>
          </cell>
          <cell r="N25" t="str">
            <v>12월</v>
          </cell>
        </row>
        <row r="26">
          <cell r="B26">
            <v>2025</v>
          </cell>
          <cell r="C26">
            <v>144000</v>
          </cell>
          <cell r="D26" t="str">
            <v>5월</v>
          </cell>
          <cell r="G26">
            <v>2025</v>
          </cell>
          <cell r="H26">
            <v>990000</v>
          </cell>
          <cell r="I26" t="str">
            <v>12월</v>
          </cell>
          <cell r="L26">
            <v>2025</v>
          </cell>
          <cell r="M26">
            <v>75100</v>
          </cell>
          <cell r="N26" t="str">
            <v>12월</v>
          </cell>
        </row>
        <row r="29">
          <cell r="B29">
            <v>2015</v>
          </cell>
          <cell r="C29">
            <v>80600</v>
          </cell>
          <cell r="D29" t="str">
            <v>8월</v>
          </cell>
          <cell r="G29">
            <v>2015</v>
          </cell>
          <cell r="H29">
            <v>1066000</v>
          </cell>
          <cell r="I29" t="str">
            <v>12월</v>
          </cell>
          <cell r="L29">
            <v>2015</v>
          </cell>
          <cell r="M29">
            <v>305000</v>
          </cell>
          <cell r="N29" t="str">
            <v>6월</v>
          </cell>
        </row>
        <row r="30">
          <cell r="B30">
            <v>2016</v>
          </cell>
          <cell r="C30">
            <v>166000</v>
          </cell>
          <cell r="D30" t="str">
            <v>11월</v>
          </cell>
          <cell r="G30">
            <v>2016</v>
          </cell>
          <cell r="H30">
            <v>740000</v>
          </cell>
          <cell r="I30" t="str">
            <v>11월</v>
          </cell>
          <cell r="L30">
            <v>2016</v>
          </cell>
          <cell r="M30">
            <v>370000</v>
          </cell>
          <cell r="N30" t="str">
            <v>12월</v>
          </cell>
        </row>
        <row r="31">
          <cell r="B31">
            <v>2017</v>
          </cell>
          <cell r="C31">
            <v>187500</v>
          </cell>
          <cell r="D31" t="str">
            <v>6월</v>
          </cell>
          <cell r="G31">
            <v>2017</v>
          </cell>
          <cell r="H31">
            <v>774000</v>
          </cell>
          <cell r="I31" t="str">
            <v>3월</v>
          </cell>
          <cell r="L31">
            <v>2017</v>
          </cell>
          <cell r="M31">
            <v>422000</v>
          </cell>
          <cell r="N31" t="str">
            <v>9월</v>
          </cell>
        </row>
        <row r="32">
          <cell r="B32">
            <v>2018</v>
          </cell>
          <cell r="C32">
            <v>93700</v>
          </cell>
          <cell r="D32" t="str">
            <v>10월</v>
          </cell>
          <cell r="G32">
            <v>2018</v>
          </cell>
          <cell r="H32">
            <v>1010000</v>
          </cell>
          <cell r="I32" t="str">
            <v>10월</v>
          </cell>
          <cell r="L32">
            <v>2018</v>
          </cell>
          <cell r="M32">
            <v>247000</v>
          </cell>
          <cell r="N32" t="str">
            <v>10월</v>
          </cell>
        </row>
        <row r="33">
          <cell r="B33">
            <v>2019</v>
          </cell>
          <cell r="C33">
            <v>93800</v>
          </cell>
          <cell r="D33" t="str">
            <v>8월</v>
          </cell>
          <cell r="G33">
            <v>2019</v>
          </cell>
          <cell r="H33">
            <v>1466000</v>
          </cell>
          <cell r="I33" t="str">
            <v>4월</v>
          </cell>
          <cell r="L33">
            <v>2019</v>
          </cell>
          <cell r="M33">
            <v>207500</v>
          </cell>
          <cell r="N33" t="str">
            <v>8월</v>
          </cell>
        </row>
        <row r="34">
          <cell r="B34">
            <v>2020</v>
          </cell>
          <cell r="C34">
            <v>64200</v>
          </cell>
          <cell r="D34" t="str">
            <v>3월</v>
          </cell>
          <cell r="G34">
            <v>2020</v>
          </cell>
          <cell r="H34">
            <v>3649000</v>
          </cell>
          <cell r="I34" t="str">
            <v>12월</v>
          </cell>
          <cell r="L34">
            <v>2020</v>
          </cell>
          <cell r="M34">
            <v>114500</v>
          </cell>
          <cell r="N34" t="str">
            <v>3월</v>
          </cell>
        </row>
        <row r="35">
          <cell r="B35">
            <v>2021</v>
          </cell>
          <cell r="C35">
            <v>163500</v>
          </cell>
          <cell r="D35" t="str">
            <v>5월</v>
          </cell>
          <cell r="G35">
            <v>2021</v>
          </cell>
          <cell r="H35">
            <v>971000</v>
          </cell>
          <cell r="I35" t="str">
            <v>12월</v>
          </cell>
          <cell r="L35">
            <v>2021</v>
          </cell>
          <cell r="M35">
            <v>538000</v>
          </cell>
          <cell r="N35" t="str">
            <v>3월</v>
          </cell>
        </row>
        <row r="36">
          <cell r="B36">
            <v>2022</v>
          </cell>
          <cell r="C36">
            <v>68600</v>
          </cell>
          <cell r="D36" t="str">
            <v>10월</v>
          </cell>
          <cell r="G36">
            <v>2022</v>
          </cell>
          <cell r="H36">
            <v>499500</v>
          </cell>
          <cell r="I36" t="str">
            <v>11월</v>
          </cell>
          <cell r="L36">
            <v>2022</v>
          </cell>
          <cell r="M36">
            <v>134303</v>
          </cell>
          <cell r="N36" t="str">
            <v>10월</v>
          </cell>
        </row>
        <row r="37">
          <cell r="B37">
            <v>2023</v>
          </cell>
          <cell r="C37">
            <v>130000</v>
          </cell>
          <cell r="D37" t="str">
            <v>7월</v>
          </cell>
          <cell r="G37">
            <v>2023</v>
          </cell>
          <cell r="H37">
            <v>590000</v>
          </cell>
          <cell r="I37" t="str">
            <v>5월</v>
          </cell>
          <cell r="L37">
            <v>2023</v>
          </cell>
          <cell r="M37">
            <v>189700</v>
          </cell>
          <cell r="N37" t="str">
            <v>6월</v>
          </cell>
        </row>
        <row r="38">
          <cell r="B38">
            <v>2024</v>
          </cell>
          <cell r="C38">
            <v>219000</v>
          </cell>
          <cell r="D38" t="str">
            <v>12월</v>
          </cell>
          <cell r="G38">
            <v>2024</v>
          </cell>
          <cell r="H38">
            <v>300000</v>
          </cell>
          <cell r="I38" t="str">
            <v>2월</v>
          </cell>
          <cell r="L38">
            <v>2024</v>
          </cell>
          <cell r="M38">
            <v>62200</v>
          </cell>
          <cell r="N38" t="str">
            <v>12월</v>
          </cell>
        </row>
        <row r="39">
          <cell r="B39">
            <v>2025</v>
          </cell>
          <cell r="C39">
            <v>994500</v>
          </cell>
          <cell r="D39" t="str">
            <v>11월</v>
          </cell>
          <cell r="G39">
            <v>2025</v>
          </cell>
          <cell r="I39" t="str">
            <v>12월</v>
          </cell>
          <cell r="L39">
            <v>2025</v>
          </cell>
          <cell r="M39">
            <v>51800</v>
          </cell>
          <cell r="N39" t="str">
            <v>2월</v>
          </cell>
        </row>
        <row r="42">
          <cell r="B42">
            <v>2015</v>
          </cell>
          <cell r="C42">
            <v>120500</v>
          </cell>
          <cell r="D42" t="str">
            <v>10월</v>
          </cell>
        </row>
        <row r="43">
          <cell r="B43">
            <v>2016</v>
          </cell>
          <cell r="C43">
            <v>139500</v>
          </cell>
          <cell r="D43" t="str">
            <v>7월</v>
          </cell>
        </row>
        <row r="44">
          <cell r="B44">
            <v>2017</v>
          </cell>
          <cell r="C44">
            <v>94900</v>
          </cell>
          <cell r="D44" t="str">
            <v>3월</v>
          </cell>
        </row>
        <row r="45">
          <cell r="B45">
            <v>2018</v>
          </cell>
          <cell r="C45">
            <v>95500</v>
          </cell>
          <cell r="D45" t="str">
            <v>6월</v>
          </cell>
        </row>
        <row r="46">
          <cell r="B46">
            <v>2019</v>
          </cell>
          <cell r="C46">
            <v>93700</v>
          </cell>
          <cell r="D46" t="str">
            <v>12월</v>
          </cell>
        </row>
        <row r="47">
          <cell r="B47">
            <v>2020</v>
          </cell>
          <cell r="C47">
            <v>98100</v>
          </cell>
          <cell r="D47" t="str">
            <v>1월</v>
          </cell>
        </row>
        <row r="48">
          <cell r="B48">
            <v>2021</v>
          </cell>
          <cell r="C48">
            <v>78000</v>
          </cell>
          <cell r="D48" t="str">
            <v>3월</v>
          </cell>
        </row>
        <row r="49">
          <cell r="B49">
            <v>2022</v>
          </cell>
          <cell r="C49">
            <v>300000</v>
          </cell>
          <cell r="D49" t="str">
            <v>11월</v>
          </cell>
        </row>
        <row r="50">
          <cell r="B50">
            <v>2023</v>
          </cell>
          <cell r="C50">
            <v>81500</v>
          </cell>
          <cell r="D50" t="str">
            <v>6월</v>
          </cell>
        </row>
        <row r="51">
          <cell r="B51">
            <v>2024</v>
          </cell>
          <cell r="C51">
            <v>126400</v>
          </cell>
          <cell r="D51" t="str">
            <v>11월</v>
          </cell>
        </row>
        <row r="52">
          <cell r="B52">
            <v>2025</v>
          </cell>
          <cell r="C52">
            <v>557800</v>
          </cell>
          <cell r="D52" t="str">
            <v>12월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tabSelected="1" workbookViewId="0">
      <selection activeCell="D3" sqref="D3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0.75" style="1" bestFit="1" customWidth="1"/>
    <col min="6" max="16384" width="9" style="1"/>
  </cols>
  <sheetData>
    <row r="2" spans="2:10" ht="33.75" customHeight="1" x14ac:dyDescent="0.3">
      <c r="B2" s="22" t="s">
        <v>3</v>
      </c>
      <c r="C2" s="22" t="s">
        <v>10</v>
      </c>
      <c r="D2" s="28" t="s">
        <v>47</v>
      </c>
      <c r="E2" s="27" t="s">
        <v>17</v>
      </c>
    </row>
    <row r="3" spans="2:10" x14ac:dyDescent="0.3">
      <c r="B3" s="4">
        <f>C3-E16</f>
        <v>0</v>
      </c>
      <c r="C3" s="4">
        <f>D3+E3</f>
        <v>0</v>
      </c>
      <c r="D3" s="17"/>
      <c r="E3" s="4"/>
      <c r="H3" s="2"/>
    </row>
    <row r="4" spans="2:10" x14ac:dyDescent="0.3">
      <c r="J4" s="2"/>
    </row>
    <row r="5" spans="2:10" ht="33" customHeight="1" x14ac:dyDescent="0.3">
      <c r="B5" s="22" t="s">
        <v>0</v>
      </c>
      <c r="C5" s="22" t="s">
        <v>50</v>
      </c>
      <c r="D5" s="21" t="s">
        <v>1</v>
      </c>
      <c r="E5" s="21" t="s">
        <v>9</v>
      </c>
      <c r="I5" s="2"/>
    </row>
    <row r="6" spans="2:10" x14ac:dyDescent="0.3">
      <c r="B6" s="23" t="s">
        <v>4</v>
      </c>
      <c r="C6" s="4">
        <f>종목!C3</f>
        <v>49700</v>
      </c>
      <c r="D6" s="17"/>
      <c r="E6" s="17">
        <f>C6*D6</f>
        <v>0</v>
      </c>
      <c r="H6" s="2"/>
      <c r="I6" s="2"/>
    </row>
    <row r="7" spans="2:10" x14ac:dyDescent="0.3">
      <c r="B7" s="23" t="s">
        <v>38</v>
      </c>
      <c r="C7" s="4">
        <f>종목!H3</f>
        <v>60500</v>
      </c>
      <c r="D7" s="17"/>
      <c r="E7" s="17">
        <f>C7*D7</f>
        <v>0</v>
      </c>
      <c r="H7" s="2"/>
      <c r="I7" s="2"/>
      <c r="J7" s="3"/>
    </row>
    <row r="8" spans="2:10" x14ac:dyDescent="0.3">
      <c r="B8" s="23" t="s">
        <v>5</v>
      </c>
      <c r="C8" s="4">
        <f>종목!M3</f>
        <v>39300</v>
      </c>
      <c r="D8" s="17"/>
      <c r="E8" s="17">
        <f t="shared" ref="E8:E15" si="0">C8*D8</f>
        <v>0</v>
      </c>
      <c r="H8" s="2"/>
      <c r="I8" s="2"/>
      <c r="J8" s="3"/>
    </row>
    <row r="9" spans="2:10" x14ac:dyDescent="0.3">
      <c r="B9" s="23" t="s">
        <v>39</v>
      </c>
      <c r="C9" s="4">
        <f>종목!C16</f>
        <v>35000</v>
      </c>
      <c r="D9" s="17"/>
      <c r="E9" s="17">
        <f t="shared" si="0"/>
        <v>0</v>
      </c>
      <c r="H9" s="2"/>
      <c r="I9" s="2"/>
    </row>
    <row r="10" spans="2:10" x14ac:dyDescent="0.3">
      <c r="B10" s="23" t="s">
        <v>40</v>
      </c>
      <c r="C10" s="4">
        <f>종목!H16</f>
        <v>123000</v>
      </c>
      <c r="D10" s="19"/>
      <c r="E10" s="17">
        <f t="shared" si="0"/>
        <v>0</v>
      </c>
      <c r="H10" s="2"/>
      <c r="I10" s="2"/>
    </row>
    <row r="11" spans="2:10" x14ac:dyDescent="0.3">
      <c r="B11" s="23" t="s">
        <v>41</v>
      </c>
      <c r="C11" s="4">
        <f>종목!M16</f>
        <v>42800</v>
      </c>
      <c r="D11" s="17"/>
      <c r="E11" s="17">
        <f t="shared" si="0"/>
        <v>0</v>
      </c>
      <c r="H11" s="2"/>
      <c r="I11" s="2"/>
    </row>
    <row r="12" spans="2:10" x14ac:dyDescent="0.3">
      <c r="B12" s="23" t="s">
        <v>42</v>
      </c>
      <c r="C12" s="4">
        <f>종목!C29</f>
        <v>80600</v>
      </c>
      <c r="D12" s="17"/>
      <c r="E12" s="17">
        <f t="shared" si="0"/>
        <v>0</v>
      </c>
      <c r="H12" s="2"/>
      <c r="I12" s="2"/>
    </row>
    <row r="13" spans="2:10" x14ac:dyDescent="0.3">
      <c r="B13" s="23" t="s">
        <v>6</v>
      </c>
      <c r="C13" s="4">
        <f>종목!H29</f>
        <v>1066000</v>
      </c>
      <c r="D13" s="17"/>
      <c r="E13" s="17">
        <f t="shared" si="0"/>
        <v>0</v>
      </c>
      <c r="H13" s="2"/>
    </row>
    <row r="14" spans="2:10" x14ac:dyDescent="0.3">
      <c r="B14" s="23" t="s">
        <v>7</v>
      </c>
      <c r="C14" s="4">
        <f>종목!M29</f>
        <v>305000</v>
      </c>
      <c r="D14" s="17"/>
      <c r="E14" s="17">
        <f t="shared" si="0"/>
        <v>0</v>
      </c>
      <c r="H14" s="2"/>
    </row>
    <row r="15" spans="2:10" x14ac:dyDescent="0.3">
      <c r="B15" s="23" t="s">
        <v>43</v>
      </c>
      <c r="C15" s="4">
        <f>종목!C42</f>
        <v>120500</v>
      </c>
      <c r="D15" s="17"/>
      <c r="E15" s="17">
        <f t="shared" si="0"/>
        <v>0</v>
      </c>
      <c r="H15" s="2"/>
    </row>
    <row r="16" spans="2:10" x14ac:dyDescent="0.3">
      <c r="B16" s="31" t="s">
        <v>8</v>
      </c>
      <c r="C16" s="31"/>
      <c r="D16" s="31"/>
      <c r="E16" s="20">
        <f>SUM(E6:E15)</f>
        <v>0</v>
      </c>
    </row>
    <row r="21" spans="15:15" x14ac:dyDescent="0.3">
      <c r="O21" s="2"/>
    </row>
    <row r="22" spans="15:15" x14ac:dyDescent="0.3">
      <c r="O22" s="2"/>
    </row>
    <row r="23" spans="15:15" x14ac:dyDescent="0.3">
      <c r="O23" s="2"/>
    </row>
    <row r="24" spans="15:15" x14ac:dyDescent="0.3">
      <c r="O24" s="2"/>
    </row>
    <row r="25" spans="15:15" x14ac:dyDescent="0.3">
      <c r="O25" s="2"/>
    </row>
    <row r="26" spans="15:15" x14ac:dyDescent="0.3">
      <c r="O26" s="2"/>
    </row>
    <row r="27" spans="15:15" x14ac:dyDescent="0.3">
      <c r="O27" s="2"/>
    </row>
    <row r="28" spans="15:15" x14ac:dyDescent="0.3">
      <c r="O28" s="2"/>
    </row>
    <row r="29" spans="15:15" x14ac:dyDescent="0.3">
      <c r="O29" s="2"/>
    </row>
    <row r="30" spans="15:15" x14ac:dyDescent="0.3">
      <c r="O30" s="2"/>
    </row>
  </sheetData>
  <mergeCells count="1">
    <mergeCell ref="B16:D16"/>
  </mergeCells>
  <phoneticPr fontId="2" type="noConversion"/>
  <conditionalFormatting sqref="B3">
    <cfRule type="cellIs" dxfId="10" priority="1" operator="lessThan">
      <formula>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C11" sqref="C11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'2015'!C3+'2016'!E16+B3</f>
        <v>0</v>
      </c>
      <c r="M3" s="6" t="e">
        <f>(L3-'2015'!C3)/'2016'!L3</f>
        <v>#DIV/0!</v>
      </c>
    </row>
    <row r="4" spans="2:13" x14ac:dyDescent="0.3">
      <c r="I4" s="5"/>
      <c r="J4" s="5"/>
      <c r="K4" s="5"/>
    </row>
    <row r="5" spans="2:13" ht="33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3" t="s">
        <v>4</v>
      </c>
      <c r="C6" s="4">
        <f>'2015'!C6</f>
        <v>49700</v>
      </c>
      <c r="D6" s="4">
        <f>'2015'!D6</f>
        <v>0</v>
      </c>
      <c r="E6" s="8">
        <f>(F6*D6)-(C6*D6)</f>
        <v>0</v>
      </c>
      <c r="F6" s="4">
        <f>종목!C4</f>
        <v>23800</v>
      </c>
      <c r="G6" s="6">
        <f t="shared" ref="G6:G15" si="0">(F6-C6)/C6</f>
        <v>-0.52112676056338025</v>
      </c>
      <c r="I6" s="23" t="s">
        <v>4</v>
      </c>
      <c r="J6" s="4">
        <f>F6</f>
        <v>23800</v>
      </c>
      <c r="K6" s="18"/>
      <c r="L6" s="17"/>
      <c r="M6" s="17">
        <f>(D6-K6)+L6</f>
        <v>0</v>
      </c>
    </row>
    <row r="7" spans="2:13" x14ac:dyDescent="0.3">
      <c r="B7" s="23" t="s">
        <v>38</v>
      </c>
      <c r="C7" s="4">
        <f>'2015'!C7</f>
        <v>60500</v>
      </c>
      <c r="D7" s="4">
        <f>'2015'!D7</f>
        <v>0</v>
      </c>
      <c r="E7" s="8">
        <f t="shared" ref="E7:E15" si="1">(F7*D7)-(C7*D7)</f>
        <v>0</v>
      </c>
      <c r="F7" s="4">
        <f>종목!H4</f>
        <v>205000</v>
      </c>
      <c r="G7" s="6">
        <f t="shared" si="0"/>
        <v>2.3884297520661155</v>
      </c>
      <c r="I7" s="23" t="s">
        <v>38</v>
      </c>
      <c r="J7" s="4">
        <f t="shared" ref="J7:J15" si="2">F7</f>
        <v>205000</v>
      </c>
      <c r="K7" s="18"/>
      <c r="L7" s="17"/>
      <c r="M7" s="17">
        <f t="shared" ref="M7:M15" si="3">(D7-K7)+L7</f>
        <v>0</v>
      </c>
    </row>
    <row r="8" spans="2:13" x14ac:dyDescent="0.3">
      <c r="B8" s="23" t="s">
        <v>5</v>
      </c>
      <c r="C8" s="4">
        <f>'2015'!C8</f>
        <v>39300</v>
      </c>
      <c r="D8" s="4">
        <f>'2015'!D8</f>
        <v>0</v>
      </c>
      <c r="E8" s="8">
        <f t="shared" si="1"/>
        <v>0</v>
      </c>
      <c r="F8" s="4">
        <f>종목!M4</f>
        <v>44700</v>
      </c>
      <c r="G8" s="6">
        <f t="shared" si="0"/>
        <v>0.13740458015267176</v>
      </c>
      <c r="I8" s="23" t="s">
        <v>5</v>
      </c>
      <c r="J8" s="4">
        <f t="shared" si="2"/>
        <v>44700</v>
      </c>
      <c r="K8" s="18"/>
      <c r="L8" s="17"/>
      <c r="M8" s="17">
        <f t="shared" si="3"/>
        <v>0</v>
      </c>
    </row>
    <row r="9" spans="2:13" x14ac:dyDescent="0.3">
      <c r="B9" s="23" t="s">
        <v>39</v>
      </c>
      <c r="C9" s="4">
        <f>'2015'!C9</f>
        <v>35000</v>
      </c>
      <c r="D9" s="4">
        <f>'2015'!D9</f>
        <v>0</v>
      </c>
      <c r="E9" s="8">
        <f t="shared" si="1"/>
        <v>0</v>
      </c>
      <c r="F9" s="4">
        <f>종목!C17</f>
        <v>108000</v>
      </c>
      <c r="G9" s="6">
        <f t="shared" si="0"/>
        <v>2.0857142857142859</v>
      </c>
      <c r="I9" s="23" t="s">
        <v>39</v>
      </c>
      <c r="J9" s="4">
        <f t="shared" si="2"/>
        <v>108000</v>
      </c>
      <c r="K9" s="18"/>
      <c r="L9" s="17"/>
      <c r="M9" s="17">
        <f t="shared" si="3"/>
        <v>0</v>
      </c>
    </row>
    <row r="10" spans="2:13" x14ac:dyDescent="0.3">
      <c r="B10" s="23" t="s">
        <v>40</v>
      </c>
      <c r="C10" s="4">
        <f>'2015'!C10</f>
        <v>123000</v>
      </c>
      <c r="D10" s="19">
        <f>'2015'!D10</f>
        <v>0</v>
      </c>
      <c r="E10" s="8">
        <f t="shared" si="1"/>
        <v>0</v>
      </c>
      <c r="F10" s="4">
        <f>종목!H17</f>
        <v>126500</v>
      </c>
      <c r="G10" s="6">
        <f t="shared" si="0"/>
        <v>2.8455284552845527E-2</v>
      </c>
      <c r="I10" s="23" t="s">
        <v>40</v>
      </c>
      <c r="J10" s="4">
        <f t="shared" si="2"/>
        <v>126500</v>
      </c>
      <c r="K10" s="18"/>
      <c r="L10" s="17"/>
      <c r="M10" s="17">
        <f t="shared" si="3"/>
        <v>0</v>
      </c>
    </row>
    <row r="11" spans="2:13" x14ac:dyDescent="0.3">
      <c r="B11" s="23" t="s">
        <v>41</v>
      </c>
      <c r="C11" s="4">
        <f>'2015'!C11</f>
        <v>42800</v>
      </c>
      <c r="D11" s="4">
        <f>'2015'!D11</f>
        <v>0</v>
      </c>
      <c r="E11" s="8">
        <f t="shared" si="1"/>
        <v>0</v>
      </c>
      <c r="F11" s="4">
        <f>종목!M17</f>
        <v>38300</v>
      </c>
      <c r="G11" s="6">
        <f t="shared" si="0"/>
        <v>-0.10514018691588785</v>
      </c>
      <c r="I11" s="23" t="s">
        <v>41</v>
      </c>
      <c r="J11" s="4">
        <f t="shared" si="2"/>
        <v>38300</v>
      </c>
      <c r="K11" s="18"/>
      <c r="L11" s="17"/>
      <c r="M11" s="17">
        <f t="shared" si="3"/>
        <v>0</v>
      </c>
    </row>
    <row r="12" spans="2:13" x14ac:dyDescent="0.3">
      <c r="B12" s="23" t="s">
        <v>42</v>
      </c>
      <c r="C12" s="4">
        <f>'2015'!C12</f>
        <v>80600</v>
      </c>
      <c r="D12" s="4">
        <f>'2015'!D12</f>
        <v>0</v>
      </c>
      <c r="E12" s="8">
        <f t="shared" si="1"/>
        <v>0</v>
      </c>
      <c r="F12" s="4">
        <f>종목!C30</f>
        <v>166000</v>
      </c>
      <c r="G12" s="6">
        <f t="shared" si="0"/>
        <v>1.0595533498759304</v>
      </c>
      <c r="I12" s="23" t="s">
        <v>42</v>
      </c>
      <c r="J12" s="4">
        <f t="shared" si="2"/>
        <v>166000</v>
      </c>
      <c r="K12" s="18"/>
      <c r="L12" s="17"/>
      <c r="M12" s="17">
        <f t="shared" si="3"/>
        <v>0</v>
      </c>
    </row>
    <row r="13" spans="2:13" x14ac:dyDescent="0.3">
      <c r="B13" s="23" t="s">
        <v>6</v>
      </c>
      <c r="C13" s="4">
        <f>'2015'!C13</f>
        <v>1066000</v>
      </c>
      <c r="D13" s="4">
        <f>'2015'!D13</f>
        <v>0</v>
      </c>
      <c r="E13" s="8">
        <f t="shared" si="1"/>
        <v>0</v>
      </c>
      <c r="F13" s="4">
        <f>종목!H30</f>
        <v>740000</v>
      </c>
      <c r="G13" s="6">
        <f t="shared" si="0"/>
        <v>-0.30581613508442779</v>
      </c>
      <c r="I13" s="23" t="s">
        <v>6</v>
      </c>
      <c r="J13" s="4">
        <f t="shared" si="2"/>
        <v>740000</v>
      </c>
      <c r="K13" s="18"/>
      <c r="L13" s="17"/>
      <c r="M13" s="17">
        <f t="shared" si="3"/>
        <v>0</v>
      </c>
    </row>
    <row r="14" spans="2:13" x14ac:dyDescent="0.3">
      <c r="B14" s="23" t="s">
        <v>7</v>
      </c>
      <c r="C14" s="4">
        <f>'2015'!C14</f>
        <v>305000</v>
      </c>
      <c r="D14" s="4">
        <f>'2015'!D14</f>
        <v>0</v>
      </c>
      <c r="E14" s="8">
        <f t="shared" si="1"/>
        <v>0</v>
      </c>
      <c r="F14" s="4">
        <f>종목!M30</f>
        <v>370000</v>
      </c>
      <c r="G14" s="6">
        <f t="shared" si="0"/>
        <v>0.21311475409836064</v>
      </c>
      <c r="I14" s="23" t="s">
        <v>7</v>
      </c>
      <c r="J14" s="4">
        <f t="shared" si="2"/>
        <v>370000</v>
      </c>
      <c r="K14" s="18"/>
      <c r="L14" s="17"/>
      <c r="M14" s="17">
        <f t="shared" si="3"/>
        <v>0</v>
      </c>
    </row>
    <row r="15" spans="2:13" x14ac:dyDescent="0.3">
      <c r="B15" s="23" t="s">
        <v>43</v>
      </c>
      <c r="C15" s="4">
        <f>'2015'!C15</f>
        <v>120500</v>
      </c>
      <c r="D15" s="4">
        <f>'2015'!D15</f>
        <v>0</v>
      </c>
      <c r="E15" s="8">
        <f t="shared" si="1"/>
        <v>0</v>
      </c>
      <c r="F15" s="4">
        <f>종목!C43</f>
        <v>139500</v>
      </c>
      <c r="G15" s="6">
        <f t="shared" si="0"/>
        <v>0.15767634854771784</v>
      </c>
      <c r="I15" s="23" t="s">
        <v>43</v>
      </c>
      <c r="J15" s="4">
        <f t="shared" si="2"/>
        <v>139500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I16:J16"/>
    <mergeCell ref="F16:G16"/>
  </mergeCells>
  <phoneticPr fontId="2" type="noConversion"/>
  <conditionalFormatting sqref="I3">
    <cfRule type="expression" dxfId="9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'2016'!L3+'2017'!E16+B3</f>
        <v>0</v>
      </c>
      <c r="M3" s="6" t="e">
        <f>(L3-'2015'!C3)/'2017'!L3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'2016'!J6</f>
        <v>23800</v>
      </c>
      <c r="D6" s="4">
        <f>'2016'!M6</f>
        <v>0</v>
      </c>
      <c r="E6" s="8">
        <f>(F6*D6)-(C6*D6)</f>
        <v>0</v>
      </c>
      <c r="F6" s="4">
        <f>종목!C5</f>
        <v>39150</v>
      </c>
      <c r="G6" s="6">
        <f t="shared" ref="G6:G15" si="0">(F6-C6)/C6</f>
        <v>0.64495798319327735</v>
      </c>
      <c r="I6" s="29" t="s">
        <v>4</v>
      </c>
      <c r="J6" s="4">
        <f>F6</f>
        <v>39150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'2016'!J7</f>
        <v>205000</v>
      </c>
      <c r="D7" s="4">
        <f>'2016'!M7</f>
        <v>0</v>
      </c>
      <c r="E7" s="8">
        <f t="shared" ref="E7:E15" si="1">(F7*D7)-(C7*D7)</f>
        <v>0</v>
      </c>
      <c r="F7" s="4">
        <f>종목!H5</f>
        <v>62500</v>
      </c>
      <c r="G7" s="6">
        <f t="shared" si="0"/>
        <v>-0.69512195121951215</v>
      </c>
      <c r="I7" s="29" t="s">
        <v>38</v>
      </c>
      <c r="J7" s="4">
        <f t="shared" ref="J7:J15" si="2">F7</f>
        <v>62500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'2016'!J8</f>
        <v>44700</v>
      </c>
      <c r="D8" s="4">
        <f>'2016'!M8</f>
        <v>0</v>
      </c>
      <c r="E8" s="8">
        <f t="shared" si="1"/>
        <v>0</v>
      </c>
      <c r="F8" s="4">
        <f>종목!M5</f>
        <v>109500</v>
      </c>
      <c r="G8" s="6">
        <f t="shared" si="0"/>
        <v>1.4496644295302012</v>
      </c>
      <c r="I8" s="29" t="s">
        <v>5</v>
      </c>
      <c r="J8" s="4">
        <f t="shared" si="2"/>
        <v>109500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'2016'!J9</f>
        <v>108000</v>
      </c>
      <c r="D9" s="4">
        <f>'2016'!M9</f>
        <v>0</v>
      </c>
      <c r="E9" s="8">
        <f t="shared" si="1"/>
        <v>0</v>
      </c>
      <c r="F9" s="4">
        <f>종목!C18</f>
        <v>196000</v>
      </c>
      <c r="G9" s="6">
        <f t="shared" si="0"/>
        <v>0.81481481481481477</v>
      </c>
      <c r="I9" s="29" t="s">
        <v>24</v>
      </c>
      <c r="J9" s="4">
        <f t="shared" si="2"/>
        <v>196000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'2016'!J10</f>
        <v>126500</v>
      </c>
      <c r="D10" s="19">
        <f>'2016'!M10</f>
        <v>0</v>
      </c>
      <c r="E10" s="8">
        <f t="shared" si="1"/>
        <v>0</v>
      </c>
      <c r="F10" s="4">
        <f>종목!H18</f>
        <v>133000</v>
      </c>
      <c r="G10" s="6">
        <f t="shared" si="0"/>
        <v>5.1383399209486168E-2</v>
      </c>
      <c r="I10" s="29" t="s">
        <v>26</v>
      </c>
      <c r="J10" s="4">
        <f t="shared" si="2"/>
        <v>133000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'2016'!J11</f>
        <v>38300</v>
      </c>
      <c r="D11" s="4">
        <f>'2016'!M11</f>
        <v>0</v>
      </c>
      <c r="E11" s="8">
        <f t="shared" si="1"/>
        <v>0</v>
      </c>
      <c r="F11" s="4">
        <f>종목!M18</f>
        <v>57600</v>
      </c>
      <c r="G11" s="6">
        <f t="shared" si="0"/>
        <v>0.50391644908616184</v>
      </c>
      <c r="I11" s="29" t="s">
        <v>28</v>
      </c>
      <c r="J11" s="4">
        <f t="shared" si="2"/>
        <v>57600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'2016'!J12</f>
        <v>166000</v>
      </c>
      <c r="D12" s="4">
        <f>'2016'!M12</f>
        <v>0</v>
      </c>
      <c r="E12" s="8">
        <f t="shared" si="1"/>
        <v>0</v>
      </c>
      <c r="F12" s="4">
        <f>종목!C31</f>
        <v>187500</v>
      </c>
      <c r="G12" s="6">
        <f t="shared" si="0"/>
        <v>0.12951807228915663</v>
      </c>
      <c r="I12" s="29" t="s">
        <v>30</v>
      </c>
      <c r="J12" s="4">
        <f t="shared" si="2"/>
        <v>187500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'2016'!J13</f>
        <v>740000</v>
      </c>
      <c r="D13" s="4">
        <f>'2016'!M13</f>
        <v>0</v>
      </c>
      <c r="E13" s="8">
        <f t="shared" si="1"/>
        <v>0</v>
      </c>
      <c r="F13" s="4">
        <f>종목!H31</f>
        <v>774000</v>
      </c>
      <c r="G13" s="6">
        <f t="shared" si="0"/>
        <v>4.5945945945945948E-2</v>
      </c>
      <c r="I13" s="29" t="s">
        <v>6</v>
      </c>
      <c r="J13" s="4">
        <f t="shared" si="2"/>
        <v>774000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'2016'!J14</f>
        <v>370000</v>
      </c>
      <c r="D14" s="4">
        <f>'2016'!M14</f>
        <v>0</v>
      </c>
      <c r="E14" s="8">
        <f t="shared" si="1"/>
        <v>0</v>
      </c>
      <c r="F14" s="4">
        <f>종목!M31</f>
        <v>422000</v>
      </c>
      <c r="G14" s="6">
        <f t="shared" si="0"/>
        <v>0.14054054054054055</v>
      </c>
      <c r="I14" s="29" t="s">
        <v>7</v>
      </c>
      <c r="J14" s="4">
        <f t="shared" si="2"/>
        <v>422000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'2016'!J15</f>
        <v>139500</v>
      </c>
      <c r="D15" s="4">
        <f>'2016'!M15</f>
        <v>0</v>
      </c>
      <c r="E15" s="8">
        <f t="shared" si="1"/>
        <v>0</v>
      </c>
      <c r="F15" s="4">
        <f>종목!C44</f>
        <v>94900</v>
      </c>
      <c r="G15" s="6">
        <f t="shared" si="0"/>
        <v>-0.31971326164874553</v>
      </c>
      <c r="I15" s="29" t="s">
        <v>36</v>
      </c>
      <c r="J15" s="4">
        <f t="shared" si="2"/>
        <v>94900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8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'2017'!L3+'2018'!E16+B3</f>
        <v>0</v>
      </c>
      <c r="M3" s="6" t="e">
        <f>(L3-'2015'!C3)/'2018'!L3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'2017'!J6</f>
        <v>39150</v>
      </c>
      <c r="D6" s="4">
        <f>'2017'!M6</f>
        <v>0</v>
      </c>
      <c r="E6" s="8">
        <f>(F6*D6)-(C6*D6)</f>
        <v>0</v>
      </c>
      <c r="F6" s="4">
        <f>종목!C6</f>
        <v>156900</v>
      </c>
      <c r="G6" s="6">
        <f t="shared" ref="G6:G15" si="0">(F6-C6)/C6</f>
        <v>3.0076628352490422</v>
      </c>
      <c r="I6" s="29" t="s">
        <v>4</v>
      </c>
      <c r="J6" s="4">
        <f>F6</f>
        <v>156900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'2017'!J7</f>
        <v>62500</v>
      </c>
      <c r="D7" s="4">
        <f>'2017'!M7</f>
        <v>0</v>
      </c>
      <c r="E7" s="8">
        <f t="shared" ref="E7:E15" si="1">(F7*D7)-(C7*D7)</f>
        <v>0</v>
      </c>
      <c r="F7" s="4">
        <f>종목!H6</f>
        <v>55900</v>
      </c>
      <c r="G7" s="6">
        <f t="shared" si="0"/>
        <v>-0.1056</v>
      </c>
      <c r="I7" s="29" t="s">
        <v>38</v>
      </c>
      <c r="J7" s="4">
        <f t="shared" ref="J7:J15" si="2">F7</f>
        <v>55900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'2017'!J8</f>
        <v>109500</v>
      </c>
      <c r="D8" s="4">
        <f>'2017'!M8</f>
        <v>0</v>
      </c>
      <c r="E8" s="8">
        <f t="shared" si="1"/>
        <v>0</v>
      </c>
      <c r="F8" s="4">
        <f>종목!M6</f>
        <v>58800</v>
      </c>
      <c r="G8" s="6">
        <f t="shared" si="0"/>
        <v>-0.46301369863013697</v>
      </c>
      <c r="I8" s="29" t="s">
        <v>5</v>
      </c>
      <c r="J8" s="4">
        <f t="shared" si="2"/>
        <v>58800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'2017'!J9</f>
        <v>196000</v>
      </c>
      <c r="D9" s="4">
        <f>'2017'!M9</f>
        <v>0</v>
      </c>
      <c r="E9" s="8">
        <f t="shared" si="1"/>
        <v>0</v>
      </c>
      <c r="F9" s="4">
        <f>종목!C19</f>
        <v>374000</v>
      </c>
      <c r="G9" s="6">
        <f t="shared" si="0"/>
        <v>0.90816326530612246</v>
      </c>
      <c r="I9" s="29" t="s">
        <v>24</v>
      </c>
      <c r="J9" s="4">
        <f t="shared" si="2"/>
        <v>374000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'2017'!J10</f>
        <v>133000</v>
      </c>
      <c r="D10" s="19">
        <f>'2017'!M10</f>
        <v>0</v>
      </c>
      <c r="E10" s="8">
        <f t="shared" si="1"/>
        <v>0</v>
      </c>
      <c r="F10" s="4">
        <f>종목!H19</f>
        <v>92500</v>
      </c>
      <c r="G10" s="6">
        <f t="shared" si="0"/>
        <v>-0.30451127819548873</v>
      </c>
      <c r="I10" s="29" t="s">
        <v>26</v>
      </c>
      <c r="J10" s="4">
        <f t="shared" si="2"/>
        <v>92500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'2017'!J11</f>
        <v>57600</v>
      </c>
      <c r="D11" s="4">
        <f>'2017'!M11</f>
        <v>0</v>
      </c>
      <c r="E11" s="8">
        <f t="shared" si="1"/>
        <v>0</v>
      </c>
      <c r="F11" s="4">
        <f>종목!M19</f>
        <v>58200</v>
      </c>
      <c r="G11" s="6">
        <f t="shared" si="0"/>
        <v>1.0416666666666666E-2</v>
      </c>
      <c r="I11" s="29" t="s">
        <v>28</v>
      </c>
      <c r="J11" s="4">
        <f t="shared" si="2"/>
        <v>58200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'2017'!J12</f>
        <v>187500</v>
      </c>
      <c r="D12" s="4">
        <f>'2017'!M12</f>
        <v>0</v>
      </c>
      <c r="E12" s="8">
        <f t="shared" si="1"/>
        <v>0</v>
      </c>
      <c r="F12" s="4">
        <f>종목!C32</f>
        <v>93700</v>
      </c>
      <c r="G12" s="6">
        <f t="shared" si="0"/>
        <v>-0.50026666666666664</v>
      </c>
      <c r="I12" s="29" t="s">
        <v>30</v>
      </c>
      <c r="J12" s="4">
        <f t="shared" si="2"/>
        <v>93700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'2017'!J13</f>
        <v>774000</v>
      </c>
      <c r="D13" s="4">
        <f>'2017'!M13</f>
        <v>0</v>
      </c>
      <c r="E13" s="8">
        <f t="shared" si="1"/>
        <v>0</v>
      </c>
      <c r="F13" s="4">
        <f>종목!H32</f>
        <v>1010000</v>
      </c>
      <c r="G13" s="6">
        <f t="shared" si="0"/>
        <v>0.30490956072351422</v>
      </c>
      <c r="I13" s="29" t="s">
        <v>6</v>
      </c>
      <c r="J13" s="4">
        <f t="shared" si="2"/>
        <v>1010000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'2017'!J14</f>
        <v>422000</v>
      </c>
      <c r="D14" s="4">
        <f>'2017'!M14</f>
        <v>0</v>
      </c>
      <c r="E14" s="8">
        <f t="shared" si="1"/>
        <v>0</v>
      </c>
      <c r="F14" s="4">
        <f>종목!M32</f>
        <v>247000</v>
      </c>
      <c r="G14" s="6">
        <f t="shared" si="0"/>
        <v>-0.41469194312796209</v>
      </c>
      <c r="I14" s="29" t="s">
        <v>7</v>
      </c>
      <c r="J14" s="4">
        <f t="shared" si="2"/>
        <v>247000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'2017'!J15</f>
        <v>94900</v>
      </c>
      <c r="D15" s="4">
        <f>'2017'!M15</f>
        <v>0</v>
      </c>
      <c r="E15" s="8">
        <f t="shared" si="1"/>
        <v>0</v>
      </c>
      <c r="F15" s="4">
        <f>종목!C45</f>
        <v>95500</v>
      </c>
      <c r="G15" s="6">
        <f t="shared" si="0"/>
        <v>6.3224446786090622E-3</v>
      </c>
      <c r="I15" s="29" t="s">
        <v>36</v>
      </c>
      <c r="J15" s="4">
        <f t="shared" si="2"/>
        <v>95500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7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'2018'!L3+'2019'!E16+B3</f>
        <v>0</v>
      </c>
      <c r="M3" s="6" t="e">
        <f>(L3-'2015'!C3)/'2019'!L3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'2018'!J6</f>
        <v>156900</v>
      </c>
      <c r="D6" s="4">
        <f>'2018'!M6</f>
        <v>0</v>
      </c>
      <c r="E6" s="8">
        <f>(F6*D6)-(C6*D6)</f>
        <v>0</v>
      </c>
      <c r="F6" s="4">
        <f>종목!C7</f>
        <v>27000</v>
      </c>
      <c r="G6" s="6">
        <f t="shared" ref="G6:G15" si="0">(F6-C6)/C6</f>
        <v>-0.82791586998087952</v>
      </c>
      <c r="I6" s="29" t="s">
        <v>4</v>
      </c>
      <c r="J6" s="4">
        <f>F6</f>
        <v>27000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'2018'!J7</f>
        <v>55900</v>
      </c>
      <c r="D7" s="4">
        <f>'2018'!M7</f>
        <v>0</v>
      </c>
      <c r="E7" s="8">
        <f t="shared" ref="E7:E15" si="1">(F7*D7)-(C7*D7)</f>
        <v>0</v>
      </c>
      <c r="F7" s="4">
        <f>종목!H7</f>
        <v>76400</v>
      </c>
      <c r="G7" s="6">
        <f t="shared" si="0"/>
        <v>0.36672629695885511</v>
      </c>
      <c r="I7" s="29" t="s">
        <v>38</v>
      </c>
      <c r="J7" s="4">
        <f t="shared" ref="J7:J15" si="2">F7</f>
        <v>76400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'2018'!J8</f>
        <v>58800</v>
      </c>
      <c r="D8" s="4">
        <f>'2018'!M8</f>
        <v>0</v>
      </c>
      <c r="E8" s="8">
        <f t="shared" si="1"/>
        <v>0</v>
      </c>
      <c r="F8" s="4">
        <f>종목!M7</f>
        <v>58500</v>
      </c>
      <c r="G8" s="6">
        <f t="shared" si="0"/>
        <v>-5.1020408163265302E-3</v>
      </c>
      <c r="I8" s="29" t="s">
        <v>5</v>
      </c>
      <c r="J8" s="4">
        <f t="shared" si="2"/>
        <v>58500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'2018'!J9</f>
        <v>374000</v>
      </c>
      <c r="D9" s="4">
        <f>'2018'!M9</f>
        <v>0</v>
      </c>
      <c r="E9" s="8">
        <f t="shared" si="1"/>
        <v>0</v>
      </c>
      <c r="F9" s="4">
        <f>종목!C20</f>
        <v>125000</v>
      </c>
      <c r="G9" s="6">
        <f t="shared" si="0"/>
        <v>-0.66577540106951871</v>
      </c>
      <c r="I9" s="29" t="s">
        <v>24</v>
      </c>
      <c r="J9" s="4">
        <f t="shared" si="2"/>
        <v>125000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'2018'!J10</f>
        <v>92500</v>
      </c>
      <c r="D10" s="19">
        <f>'2018'!M10</f>
        <v>0</v>
      </c>
      <c r="E10" s="8">
        <f t="shared" si="1"/>
        <v>0</v>
      </c>
      <c r="F10" s="4">
        <f>종목!H20</f>
        <v>143500</v>
      </c>
      <c r="G10" s="6">
        <f t="shared" si="0"/>
        <v>0.55135135135135138</v>
      </c>
      <c r="I10" s="29" t="s">
        <v>26</v>
      </c>
      <c r="J10" s="4">
        <f t="shared" si="2"/>
        <v>143500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'2018'!J11</f>
        <v>58200</v>
      </c>
      <c r="D11" s="4">
        <f>'2018'!M11</f>
        <v>0</v>
      </c>
      <c r="E11" s="8">
        <f t="shared" si="1"/>
        <v>0</v>
      </c>
      <c r="F11" s="4">
        <f>종목!M20</f>
        <v>458000</v>
      </c>
      <c r="G11" s="6">
        <f t="shared" si="0"/>
        <v>6.869415807560137</v>
      </c>
      <c r="I11" s="29" t="s">
        <v>28</v>
      </c>
      <c r="J11" s="4">
        <f t="shared" si="2"/>
        <v>458000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'2018'!J12</f>
        <v>93700</v>
      </c>
      <c r="D12" s="4">
        <f>'2018'!M12</f>
        <v>0</v>
      </c>
      <c r="E12" s="8">
        <f t="shared" si="1"/>
        <v>0</v>
      </c>
      <c r="F12" s="4">
        <f>종목!C33</f>
        <v>93800</v>
      </c>
      <c r="G12" s="6">
        <f t="shared" si="0"/>
        <v>1.0672358591248667E-3</v>
      </c>
      <c r="I12" s="29" t="s">
        <v>30</v>
      </c>
      <c r="J12" s="4">
        <f t="shared" si="2"/>
        <v>93800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'2018'!J13</f>
        <v>1010000</v>
      </c>
      <c r="D13" s="4">
        <f>'2018'!M13</f>
        <v>0</v>
      </c>
      <c r="E13" s="8">
        <f t="shared" si="1"/>
        <v>0</v>
      </c>
      <c r="F13" s="4">
        <f>종목!H33</f>
        <v>1466000</v>
      </c>
      <c r="G13" s="6">
        <f t="shared" si="0"/>
        <v>0.4514851485148515</v>
      </c>
      <c r="I13" s="29" t="s">
        <v>6</v>
      </c>
      <c r="J13" s="4">
        <f t="shared" si="2"/>
        <v>1466000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'2018'!J14</f>
        <v>247000</v>
      </c>
      <c r="D14" s="4">
        <f>'2018'!M14</f>
        <v>0</v>
      </c>
      <c r="E14" s="8">
        <f t="shared" si="1"/>
        <v>0</v>
      </c>
      <c r="F14" s="4">
        <f>종목!M33</f>
        <v>207500</v>
      </c>
      <c r="G14" s="6">
        <f t="shared" si="0"/>
        <v>-0.15991902834008098</v>
      </c>
      <c r="I14" s="29" t="s">
        <v>7</v>
      </c>
      <c r="J14" s="4">
        <f t="shared" si="2"/>
        <v>207500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'2018'!J15</f>
        <v>95500</v>
      </c>
      <c r="D15" s="4">
        <f>'2018'!M15</f>
        <v>0</v>
      </c>
      <c r="E15" s="8">
        <f t="shared" si="1"/>
        <v>0</v>
      </c>
      <c r="F15" s="4">
        <f>종목!C46</f>
        <v>93700</v>
      </c>
      <c r="G15" s="6">
        <f t="shared" si="0"/>
        <v>-1.8848167539267015E-2</v>
      </c>
      <c r="I15" s="29" t="s">
        <v>36</v>
      </c>
      <c r="J15" s="4">
        <f t="shared" si="2"/>
        <v>93700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6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0.75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'2019'!L3+'2020'!E16+B3</f>
        <v>0</v>
      </c>
      <c r="M3" s="6" t="e">
        <f>(L3-'2015'!C3)/'2020'!L3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'2019'!J6</f>
        <v>27000</v>
      </c>
      <c r="D6" s="4">
        <f>'2019'!M6</f>
        <v>0</v>
      </c>
      <c r="E6" s="8">
        <f>(F6*D6)-(C6*D6)</f>
        <v>0</v>
      </c>
      <c r="F6" s="4">
        <f>종목!C8</f>
        <v>16350</v>
      </c>
      <c r="G6" s="6">
        <f t="shared" ref="G6:G15" si="0">(F6-C6)/C6</f>
        <v>-0.39444444444444443</v>
      </c>
      <c r="I6" s="29" t="s">
        <v>4</v>
      </c>
      <c r="J6" s="4">
        <f>F6</f>
        <v>16350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'2019'!J7</f>
        <v>76400</v>
      </c>
      <c r="D7" s="4">
        <f>'2019'!M7</f>
        <v>0</v>
      </c>
      <c r="E7" s="8">
        <f t="shared" ref="E7:E15" si="1">(F7*D7)-(C7*D7)</f>
        <v>0</v>
      </c>
      <c r="F7" s="4">
        <f>종목!H8</f>
        <v>26600</v>
      </c>
      <c r="G7" s="6">
        <f t="shared" si="0"/>
        <v>-0.65183246073298429</v>
      </c>
      <c r="I7" s="29" t="s">
        <v>38</v>
      </c>
      <c r="J7" s="4">
        <f t="shared" ref="J7:J15" si="2">F7</f>
        <v>26600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'2019'!J8</f>
        <v>58500</v>
      </c>
      <c r="D8" s="4">
        <f>'2019'!M8</f>
        <v>0</v>
      </c>
      <c r="E8" s="8">
        <f t="shared" si="1"/>
        <v>0</v>
      </c>
      <c r="F8" s="4">
        <f>종목!M8</f>
        <v>236500</v>
      </c>
      <c r="G8" s="6">
        <f t="shared" si="0"/>
        <v>3.0427350427350426</v>
      </c>
      <c r="I8" s="29" t="s">
        <v>5</v>
      </c>
      <c r="J8" s="4">
        <f t="shared" si="2"/>
        <v>236500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'2019'!J9</f>
        <v>125000</v>
      </c>
      <c r="D9" s="4">
        <f>'2019'!M9</f>
        <v>0</v>
      </c>
      <c r="E9" s="8">
        <f t="shared" si="1"/>
        <v>0</v>
      </c>
      <c r="F9" s="4">
        <f>종목!C21</f>
        <v>565000</v>
      </c>
      <c r="G9" s="6">
        <f t="shared" si="0"/>
        <v>3.52</v>
      </c>
      <c r="I9" s="29" t="s">
        <v>24</v>
      </c>
      <c r="J9" s="4">
        <f t="shared" si="2"/>
        <v>565000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'2019'!J10</f>
        <v>143500</v>
      </c>
      <c r="D10" s="19">
        <f>'2019'!M10</f>
        <v>0</v>
      </c>
      <c r="E10" s="8">
        <f t="shared" si="1"/>
        <v>0</v>
      </c>
      <c r="F10" s="4">
        <f>종목!H21</f>
        <v>199000</v>
      </c>
      <c r="G10" s="6">
        <f t="shared" si="0"/>
        <v>0.38675958188153309</v>
      </c>
      <c r="I10" s="29" t="s">
        <v>26</v>
      </c>
      <c r="J10" s="4">
        <f t="shared" si="2"/>
        <v>199000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'2019'!J11</f>
        <v>458000</v>
      </c>
      <c r="D11" s="4">
        <f>'2019'!M11</f>
        <v>0</v>
      </c>
      <c r="E11" s="8">
        <f t="shared" si="1"/>
        <v>0</v>
      </c>
      <c r="F11" s="4">
        <f>종목!M21</f>
        <v>50300</v>
      </c>
      <c r="G11" s="6">
        <f t="shared" si="0"/>
        <v>-0.890174672489083</v>
      </c>
      <c r="I11" s="29" t="s">
        <v>28</v>
      </c>
      <c r="J11" s="4">
        <f t="shared" si="2"/>
        <v>50300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'2019'!J12</f>
        <v>93800</v>
      </c>
      <c r="D12" s="4">
        <f>'2019'!M12</f>
        <v>0</v>
      </c>
      <c r="E12" s="8">
        <f t="shared" si="1"/>
        <v>0</v>
      </c>
      <c r="F12" s="4">
        <f>종목!C34</f>
        <v>64200</v>
      </c>
      <c r="G12" s="6">
        <f t="shared" si="0"/>
        <v>-0.31556503198294245</v>
      </c>
      <c r="I12" s="29" t="s">
        <v>30</v>
      </c>
      <c r="J12" s="4">
        <f t="shared" si="2"/>
        <v>64200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'2019'!J13</f>
        <v>1466000</v>
      </c>
      <c r="D13" s="4">
        <f>'2019'!M13</f>
        <v>0</v>
      </c>
      <c r="E13" s="8">
        <f t="shared" si="1"/>
        <v>0</v>
      </c>
      <c r="F13" s="4">
        <f>종목!H34</f>
        <v>3649000</v>
      </c>
      <c r="G13" s="6">
        <f t="shared" si="0"/>
        <v>1.4890859481582537</v>
      </c>
      <c r="I13" s="29" t="s">
        <v>6</v>
      </c>
      <c r="J13" s="4">
        <f t="shared" si="2"/>
        <v>3649000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'2019'!J14</f>
        <v>207500</v>
      </c>
      <c r="D14" s="4">
        <f>'2019'!M14</f>
        <v>0</v>
      </c>
      <c r="E14" s="8">
        <f t="shared" si="1"/>
        <v>0</v>
      </c>
      <c r="F14" s="4">
        <f>종목!M34</f>
        <v>114500</v>
      </c>
      <c r="G14" s="6">
        <f t="shared" si="0"/>
        <v>-0.44819277108433736</v>
      </c>
      <c r="I14" s="29" t="s">
        <v>7</v>
      </c>
      <c r="J14" s="4">
        <f t="shared" si="2"/>
        <v>114500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'2019'!J15</f>
        <v>93700</v>
      </c>
      <c r="D15" s="4">
        <f>'2019'!M15</f>
        <v>0</v>
      </c>
      <c r="E15" s="8">
        <f t="shared" si="1"/>
        <v>0</v>
      </c>
      <c r="F15" s="4">
        <f>종목!C47</f>
        <v>98100</v>
      </c>
      <c r="G15" s="6">
        <f t="shared" si="0"/>
        <v>4.6958377801494131E-2</v>
      </c>
      <c r="I15" s="29" t="s">
        <v>36</v>
      </c>
      <c r="J15" s="4">
        <f t="shared" si="2"/>
        <v>98100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5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'2020'!L3+'2021'!E16+B3</f>
        <v>0</v>
      </c>
      <c r="M3" s="6" t="e">
        <f>(L3-'2015'!C3)/'2021'!L3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'2020'!J6</f>
        <v>16350</v>
      </c>
      <c r="D6" s="4">
        <f>'2020'!M6</f>
        <v>0</v>
      </c>
      <c r="E6" s="8">
        <f>(F6*D6)-(C6*D6)</f>
        <v>0</v>
      </c>
      <c r="F6" s="4">
        <f>종목!C9</f>
        <v>85000</v>
      </c>
      <c r="G6" s="6">
        <f t="shared" ref="G6:G15" si="0">(F6-C6)/C6</f>
        <v>4.1987767584097861</v>
      </c>
      <c r="I6" s="29" t="s">
        <v>4</v>
      </c>
      <c r="J6" s="4">
        <f>F6</f>
        <v>85000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'2020'!J7</f>
        <v>26600</v>
      </c>
      <c r="D7" s="4">
        <f>'2020'!M7</f>
        <v>0</v>
      </c>
      <c r="E7" s="8">
        <f t="shared" ref="E7:E15" si="1">(F7*D7)-(C7*D7)</f>
        <v>0</v>
      </c>
      <c r="F7" s="4">
        <f>종목!H9</f>
        <v>94300</v>
      </c>
      <c r="G7" s="6">
        <f t="shared" si="0"/>
        <v>2.5451127819548871</v>
      </c>
      <c r="I7" s="29" t="s">
        <v>38</v>
      </c>
      <c r="J7" s="4">
        <f t="shared" ref="J7:J15" si="2">F7</f>
        <v>94300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'2020'!J8</f>
        <v>236500</v>
      </c>
      <c r="D8" s="4">
        <f>'2020'!M8</f>
        <v>0</v>
      </c>
      <c r="E8" s="8">
        <f t="shared" si="1"/>
        <v>0</v>
      </c>
      <c r="F8" s="4">
        <f>종목!M9</f>
        <v>115000</v>
      </c>
      <c r="G8" s="6">
        <f t="shared" si="0"/>
        <v>-0.51374207188160681</v>
      </c>
      <c r="I8" s="29" t="s">
        <v>5</v>
      </c>
      <c r="J8" s="4">
        <f t="shared" si="2"/>
        <v>115000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'2020'!J9</f>
        <v>565000</v>
      </c>
      <c r="D9" s="4">
        <f>'2020'!M9</f>
        <v>0</v>
      </c>
      <c r="E9" s="8">
        <f t="shared" si="1"/>
        <v>0</v>
      </c>
      <c r="F9" s="4">
        <f>종목!C22</f>
        <v>185000</v>
      </c>
      <c r="G9" s="6">
        <f t="shared" si="0"/>
        <v>-0.67256637168141598</v>
      </c>
      <c r="I9" s="29" t="s">
        <v>24</v>
      </c>
      <c r="J9" s="4">
        <f t="shared" si="2"/>
        <v>185000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'2020'!J10</f>
        <v>199000</v>
      </c>
      <c r="D10" s="19">
        <f>'2020'!M10</f>
        <v>0</v>
      </c>
      <c r="E10" s="8">
        <f t="shared" si="1"/>
        <v>0</v>
      </c>
      <c r="F10" s="4">
        <f>종목!H22</f>
        <v>289000</v>
      </c>
      <c r="G10" s="6">
        <f t="shared" si="0"/>
        <v>0.45226130653266333</v>
      </c>
      <c r="I10" s="29" t="s">
        <v>26</v>
      </c>
      <c r="J10" s="4">
        <f t="shared" si="2"/>
        <v>289000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'2020'!J11</f>
        <v>50300</v>
      </c>
      <c r="D11" s="4">
        <f>'2020'!M11</f>
        <v>0</v>
      </c>
      <c r="E11" s="8">
        <f t="shared" si="1"/>
        <v>0</v>
      </c>
      <c r="F11" s="4">
        <f>종목!M22</f>
        <v>47000</v>
      </c>
      <c r="G11" s="6">
        <f t="shared" si="0"/>
        <v>-6.560636182902585E-2</v>
      </c>
      <c r="I11" s="29" t="s">
        <v>28</v>
      </c>
      <c r="J11" s="4">
        <f t="shared" si="2"/>
        <v>47000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'2020'!J12</f>
        <v>64200</v>
      </c>
      <c r="D12" s="4">
        <f>'2020'!M12</f>
        <v>0</v>
      </c>
      <c r="E12" s="8">
        <f t="shared" si="1"/>
        <v>0</v>
      </c>
      <c r="F12" s="4">
        <f>종목!C35</f>
        <v>163500</v>
      </c>
      <c r="G12" s="6">
        <f t="shared" si="0"/>
        <v>1.5467289719626167</v>
      </c>
      <c r="I12" s="29" t="s">
        <v>30</v>
      </c>
      <c r="J12" s="4">
        <f t="shared" si="2"/>
        <v>163500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'2020'!J13</f>
        <v>3649000</v>
      </c>
      <c r="D13" s="4">
        <f>'2020'!M13</f>
        <v>0</v>
      </c>
      <c r="E13" s="8">
        <f t="shared" si="1"/>
        <v>0</v>
      </c>
      <c r="F13" s="4">
        <f>종목!H35</f>
        <v>971000</v>
      </c>
      <c r="G13" s="6">
        <f t="shared" si="0"/>
        <v>-0.73389969854754722</v>
      </c>
      <c r="I13" s="29" t="s">
        <v>6</v>
      </c>
      <c r="J13" s="4">
        <f t="shared" si="2"/>
        <v>971000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'2020'!J14</f>
        <v>114500</v>
      </c>
      <c r="D14" s="4">
        <f>'2020'!M14</f>
        <v>0</v>
      </c>
      <c r="E14" s="8">
        <f t="shared" si="1"/>
        <v>0</v>
      </c>
      <c r="F14" s="4">
        <f>종목!M35</f>
        <v>538000</v>
      </c>
      <c r="G14" s="6">
        <f t="shared" si="0"/>
        <v>3.6986899563318776</v>
      </c>
      <c r="I14" s="29" t="s">
        <v>7</v>
      </c>
      <c r="J14" s="4">
        <f t="shared" si="2"/>
        <v>538000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'2020'!J15</f>
        <v>98100</v>
      </c>
      <c r="D15" s="4">
        <f>'2020'!M15</f>
        <v>0</v>
      </c>
      <c r="E15" s="8">
        <f t="shared" si="1"/>
        <v>0</v>
      </c>
      <c r="F15" s="4">
        <f>종목!C48</f>
        <v>78000</v>
      </c>
      <c r="G15" s="6">
        <f t="shared" si="0"/>
        <v>-0.20489296636085627</v>
      </c>
      <c r="I15" s="29" t="s">
        <v>36</v>
      </c>
      <c r="J15" s="4">
        <f t="shared" si="2"/>
        <v>78000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4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'2021'!L3+'2022'!E16+B3</f>
        <v>0</v>
      </c>
      <c r="M3" s="6" t="e">
        <f>(L3-'2015'!C3)/'2022'!L3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'2021'!J6</f>
        <v>85000</v>
      </c>
      <c r="D6" s="4">
        <f>'2021'!M6</f>
        <v>0</v>
      </c>
      <c r="E6" s="8">
        <f>(F6*D6)-(C6*D6)</f>
        <v>0</v>
      </c>
      <c r="F6" s="4">
        <f>종목!C10</f>
        <v>90000</v>
      </c>
      <c r="G6" s="6">
        <f t="shared" ref="G6:G15" si="0">(F6-C6)/C6</f>
        <v>5.8823529411764705E-2</v>
      </c>
      <c r="I6" s="29" t="s">
        <v>4</v>
      </c>
      <c r="J6" s="4">
        <f>F6</f>
        <v>90000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'2021'!J7</f>
        <v>94300</v>
      </c>
      <c r="D7" s="4">
        <f>'2021'!M7</f>
        <v>0</v>
      </c>
      <c r="E7" s="8">
        <f t="shared" ref="E7:E15" si="1">(F7*D7)-(C7*D7)</f>
        <v>0</v>
      </c>
      <c r="F7" s="4">
        <f>종목!H10</f>
        <v>47150</v>
      </c>
      <c r="G7" s="6">
        <f t="shared" si="0"/>
        <v>-0.5</v>
      </c>
      <c r="I7" s="29" t="s">
        <v>38</v>
      </c>
      <c r="J7" s="4">
        <f t="shared" ref="J7:J15" si="2">F7</f>
        <v>47150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'2021'!J8</f>
        <v>115000</v>
      </c>
      <c r="D8" s="4">
        <f>'2021'!M8</f>
        <v>0</v>
      </c>
      <c r="E8" s="8">
        <f t="shared" si="1"/>
        <v>0</v>
      </c>
      <c r="F8" s="4">
        <f>종목!M10</f>
        <v>77200</v>
      </c>
      <c r="G8" s="6">
        <f t="shared" si="0"/>
        <v>-0.32869565217391306</v>
      </c>
      <c r="I8" s="29" t="s">
        <v>5</v>
      </c>
      <c r="J8" s="4">
        <f t="shared" si="2"/>
        <v>77200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'2021'!J9</f>
        <v>185000</v>
      </c>
      <c r="D9" s="4">
        <f>'2021'!M9</f>
        <v>0</v>
      </c>
      <c r="E9" s="8">
        <f t="shared" si="1"/>
        <v>0</v>
      </c>
      <c r="F9" s="4">
        <f>종목!C23</f>
        <v>131000</v>
      </c>
      <c r="G9" s="6">
        <f t="shared" si="0"/>
        <v>-0.29189189189189191</v>
      </c>
      <c r="I9" s="29" t="s">
        <v>24</v>
      </c>
      <c r="J9" s="4">
        <f t="shared" si="2"/>
        <v>131000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'2021'!J10</f>
        <v>289000</v>
      </c>
      <c r="D10" s="19">
        <f>'2021'!M10</f>
        <v>0</v>
      </c>
      <c r="E10" s="8">
        <f t="shared" si="1"/>
        <v>0</v>
      </c>
      <c r="F10" s="4">
        <f>종목!H23</f>
        <v>160000</v>
      </c>
      <c r="G10" s="6">
        <f t="shared" si="0"/>
        <v>-0.44636678200692043</v>
      </c>
      <c r="I10" s="29" t="s">
        <v>26</v>
      </c>
      <c r="J10" s="4">
        <f t="shared" si="2"/>
        <v>160000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'2021'!J11</f>
        <v>47000</v>
      </c>
      <c r="D11" s="4">
        <f>'2021'!M11</f>
        <v>0</v>
      </c>
      <c r="E11" s="8">
        <f t="shared" si="1"/>
        <v>0</v>
      </c>
      <c r="F11" s="4">
        <f>종목!M23</f>
        <v>61900</v>
      </c>
      <c r="G11" s="6">
        <f t="shared" si="0"/>
        <v>0.31702127659574469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'2021'!J12</f>
        <v>163500</v>
      </c>
      <c r="D12" s="4">
        <f>'2021'!M12</f>
        <v>0</v>
      </c>
      <c r="E12" s="8">
        <f t="shared" si="1"/>
        <v>0</v>
      </c>
      <c r="F12" s="4">
        <f>종목!C36</f>
        <v>68600</v>
      </c>
      <c r="G12" s="6">
        <f t="shared" si="0"/>
        <v>-0.58042813455657494</v>
      </c>
      <c r="I12" s="29" t="s">
        <v>30</v>
      </c>
      <c r="J12" s="4">
        <f t="shared" si="2"/>
        <v>68600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'2021'!J13</f>
        <v>971000</v>
      </c>
      <c r="D13" s="4">
        <f>'2021'!M13</f>
        <v>0</v>
      </c>
      <c r="E13" s="8">
        <f t="shared" si="1"/>
        <v>0</v>
      </c>
      <c r="F13" s="4">
        <f>종목!H36</f>
        <v>499500</v>
      </c>
      <c r="G13" s="6">
        <f t="shared" si="0"/>
        <v>-0.48558187435633365</v>
      </c>
      <c r="I13" s="29" t="s">
        <v>6</v>
      </c>
      <c r="J13" s="4">
        <f t="shared" si="2"/>
        <v>499500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'2021'!J14</f>
        <v>538000</v>
      </c>
      <c r="D14" s="4">
        <f>'2021'!M14</f>
        <v>0</v>
      </c>
      <c r="E14" s="8">
        <f t="shared" si="1"/>
        <v>0</v>
      </c>
      <c r="F14" s="4">
        <f>종목!M36</f>
        <v>134303</v>
      </c>
      <c r="G14" s="6">
        <f t="shared" si="0"/>
        <v>-0.7503661710037175</v>
      </c>
      <c r="I14" s="29" t="s">
        <v>7</v>
      </c>
      <c r="J14" s="4">
        <f t="shared" si="2"/>
        <v>134303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'2021'!J15</f>
        <v>78000</v>
      </c>
      <c r="D15" s="4">
        <f>'2021'!M15</f>
        <v>0</v>
      </c>
      <c r="E15" s="8">
        <f t="shared" si="1"/>
        <v>0</v>
      </c>
      <c r="F15" s="4">
        <f>종목!C49</f>
        <v>300000</v>
      </c>
      <c r="G15" s="6">
        <f t="shared" si="0"/>
        <v>2.8461538461538463</v>
      </c>
      <c r="I15" s="29" t="s">
        <v>36</v>
      </c>
      <c r="J15" s="4">
        <f t="shared" si="2"/>
        <v>300000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3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'2022'!L3+'2023'!E16+B3</f>
        <v>0</v>
      </c>
      <c r="M3" s="6" t="e">
        <f>(L3-'2015'!C3)/'2023'!L3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'2022'!J6</f>
        <v>90000</v>
      </c>
      <c r="D6" s="4">
        <f>'2022'!M6</f>
        <v>0</v>
      </c>
      <c r="E6" s="8">
        <f>(F6*D6)-(C6*D6)</f>
        <v>0</v>
      </c>
      <c r="F6" s="4">
        <f>종목!C11</f>
        <v>161200</v>
      </c>
      <c r="G6" s="6">
        <f t="shared" ref="G6:G15" si="0">(F6-C6)/C6</f>
        <v>0.7911111111111111</v>
      </c>
      <c r="I6" s="29" t="s">
        <v>4</v>
      </c>
      <c r="J6" s="4">
        <f>F6</f>
        <v>161200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'2022'!J7</f>
        <v>47150</v>
      </c>
      <c r="D7" s="4">
        <f>'2022'!M7</f>
        <v>0</v>
      </c>
      <c r="E7" s="8">
        <f t="shared" ref="E7:E15" si="1">(F7*D7)-(C7*D7)</f>
        <v>0</v>
      </c>
      <c r="F7" s="4">
        <f>종목!H11</f>
        <v>53000</v>
      </c>
      <c r="G7" s="6">
        <f t="shared" si="0"/>
        <v>0.12407211028632026</v>
      </c>
      <c r="I7" s="29" t="s">
        <v>38</v>
      </c>
      <c r="J7" s="4">
        <f t="shared" ref="J7:J15" si="2">F7</f>
        <v>53000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'2022'!J8</f>
        <v>77200</v>
      </c>
      <c r="D8" s="4">
        <f>'2022'!M8</f>
        <v>0</v>
      </c>
      <c r="E8" s="8">
        <f t="shared" si="1"/>
        <v>0</v>
      </c>
      <c r="F8" s="4">
        <f>종목!M11</f>
        <v>132400</v>
      </c>
      <c r="G8" s="6">
        <f t="shared" si="0"/>
        <v>0.71502590673575128</v>
      </c>
      <c r="I8" s="29" t="s">
        <v>5</v>
      </c>
      <c r="J8" s="4">
        <f t="shared" si="2"/>
        <v>132400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'2022'!J9</f>
        <v>131000</v>
      </c>
      <c r="D9" s="4">
        <f>'2022'!M9</f>
        <v>0</v>
      </c>
      <c r="E9" s="8">
        <f t="shared" si="1"/>
        <v>0</v>
      </c>
      <c r="F9" s="4">
        <f>종목!C24</f>
        <v>203000</v>
      </c>
      <c r="G9" s="6">
        <f t="shared" si="0"/>
        <v>0.54961832061068705</v>
      </c>
      <c r="I9" s="29" t="s">
        <v>24</v>
      </c>
      <c r="J9" s="4">
        <f t="shared" si="2"/>
        <v>203000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'2022'!J10</f>
        <v>160000</v>
      </c>
      <c r="D10" s="19">
        <f>'2022'!M10</f>
        <v>0</v>
      </c>
      <c r="E10" s="8">
        <f t="shared" si="1"/>
        <v>0</v>
      </c>
      <c r="F10" s="4">
        <f>종목!H24</f>
        <v>211500</v>
      </c>
      <c r="G10" s="6">
        <f t="shared" si="0"/>
        <v>0.32187500000000002</v>
      </c>
      <c r="I10" s="29" t="s">
        <v>26</v>
      </c>
      <c r="J10" s="4">
        <f t="shared" si="2"/>
        <v>211500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'2022'!J11</f>
        <v>61900</v>
      </c>
      <c r="D11" s="4">
        <f>'2022'!M11</f>
        <v>0</v>
      </c>
      <c r="E11" s="8">
        <f t="shared" si="1"/>
        <v>0</v>
      </c>
      <c r="F11" s="4">
        <f>종목!M24</f>
        <v>43300</v>
      </c>
      <c r="G11" s="6">
        <f t="shared" si="0"/>
        <v>-0.30048465266558966</v>
      </c>
      <c r="I11" s="29" t="s">
        <v>28</v>
      </c>
      <c r="J11" s="4">
        <f t="shared" si="2"/>
        <v>43300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'2022'!J12</f>
        <v>68600</v>
      </c>
      <c r="D12" s="4">
        <f>'2022'!M12</f>
        <v>0</v>
      </c>
      <c r="E12" s="8">
        <f t="shared" si="1"/>
        <v>0</v>
      </c>
      <c r="F12" s="4">
        <f>종목!C37</f>
        <v>130000</v>
      </c>
      <c r="G12" s="6">
        <f t="shared" si="0"/>
        <v>0.89504373177842567</v>
      </c>
      <c r="I12" s="29" t="s">
        <v>30</v>
      </c>
      <c r="J12" s="4">
        <f t="shared" si="2"/>
        <v>130000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'2022'!J13</f>
        <v>499500</v>
      </c>
      <c r="D13" s="4">
        <f>'2022'!M13</f>
        <v>0</v>
      </c>
      <c r="E13" s="8">
        <f t="shared" si="1"/>
        <v>0</v>
      </c>
      <c r="F13" s="4">
        <f>종목!H37</f>
        <v>590000</v>
      </c>
      <c r="G13" s="6">
        <f t="shared" si="0"/>
        <v>0.18118118118118118</v>
      </c>
      <c r="I13" s="29" t="s">
        <v>6</v>
      </c>
      <c r="J13" s="4">
        <f t="shared" si="2"/>
        <v>590000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'2022'!J14</f>
        <v>134303</v>
      </c>
      <c r="D14" s="4">
        <f>'2022'!M14</f>
        <v>0</v>
      </c>
      <c r="E14" s="8">
        <f t="shared" si="1"/>
        <v>0</v>
      </c>
      <c r="F14" s="4">
        <f>종목!M37</f>
        <v>189700</v>
      </c>
      <c r="G14" s="6">
        <f t="shared" si="0"/>
        <v>0.41247775552295929</v>
      </c>
      <c r="I14" s="29" t="s">
        <v>7</v>
      </c>
      <c r="J14" s="4">
        <f t="shared" si="2"/>
        <v>189700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'2022'!J15</f>
        <v>300000</v>
      </c>
      <c r="D15" s="4">
        <f>'2022'!M15</f>
        <v>0</v>
      </c>
      <c r="E15" s="8">
        <f t="shared" si="1"/>
        <v>0</v>
      </c>
      <c r="F15" s="4">
        <f>종목!C50</f>
        <v>81500</v>
      </c>
      <c r="G15" s="6">
        <f t="shared" si="0"/>
        <v>-0.72833333333333339</v>
      </c>
      <c r="I15" s="29" t="s">
        <v>36</v>
      </c>
      <c r="J15" s="4">
        <f t="shared" si="2"/>
        <v>81500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2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17</v>
      </c>
      <c r="C2" s="1"/>
      <c r="D2" s="1"/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/>
      <c r="C3" s="1"/>
      <c r="D3" s="1"/>
      <c r="I3" s="4">
        <f>L3-M16</f>
        <v>0</v>
      </c>
      <c r="J3" s="4">
        <f>K16</f>
        <v>0</v>
      </c>
      <c r="K3" s="4">
        <f>L16</f>
        <v>0</v>
      </c>
      <c r="L3" s="4">
        <f>'2023'!L3+'2024'!E16+B3</f>
        <v>0</v>
      </c>
      <c r="M3" s="6" t="e">
        <f>(L3-'2015'!C3)/'2024'!L3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'2023'!J6</f>
        <v>161200</v>
      </c>
      <c r="D6" s="4">
        <f>'2023'!M6</f>
        <v>0</v>
      </c>
      <c r="E6" s="8">
        <f>(F6*D6)-(C6*D6)</f>
        <v>0</v>
      </c>
      <c r="F6" s="4">
        <f>종목!C12</f>
        <v>55100</v>
      </c>
      <c r="G6" s="6">
        <f t="shared" ref="G6:G15" si="0">(F6-C6)/C6</f>
        <v>-0.65818858560794047</v>
      </c>
      <c r="I6" s="29" t="s">
        <v>4</v>
      </c>
      <c r="J6" s="4">
        <f>F6</f>
        <v>55100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'2023'!J7</f>
        <v>53000</v>
      </c>
      <c r="D7" s="4">
        <f>'2023'!M7</f>
        <v>0</v>
      </c>
      <c r="E7" s="8">
        <f t="shared" ref="E7:E15" si="1">(F7*D7)-(C7*D7)</f>
        <v>0</v>
      </c>
      <c r="F7" s="4">
        <f>종목!H12</f>
        <v>270600</v>
      </c>
      <c r="G7" s="6">
        <f t="shared" si="0"/>
        <v>4.1056603773584905</v>
      </c>
      <c r="I7" s="29" t="s">
        <v>38</v>
      </c>
      <c r="J7" s="4">
        <f t="shared" ref="J7:J15" si="2">F7</f>
        <v>270600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'2023'!J8</f>
        <v>132400</v>
      </c>
      <c r="D8" s="4">
        <f>'2023'!M8</f>
        <v>0</v>
      </c>
      <c r="E8" s="8">
        <f t="shared" si="1"/>
        <v>0</v>
      </c>
      <c r="F8" s="4">
        <f>종목!M12</f>
        <v>86500</v>
      </c>
      <c r="G8" s="6">
        <f t="shared" si="0"/>
        <v>-0.34667673716012087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'2023'!J9</f>
        <v>203000</v>
      </c>
      <c r="D9" s="4">
        <f>'2023'!M9</f>
        <v>0</v>
      </c>
      <c r="E9" s="8">
        <f t="shared" si="1"/>
        <v>0</v>
      </c>
      <c r="F9" s="4">
        <f>종목!C25</f>
        <v>215000</v>
      </c>
      <c r="G9" s="6">
        <f t="shared" si="0"/>
        <v>5.9113300492610835E-2</v>
      </c>
      <c r="I9" s="29" t="s">
        <v>24</v>
      </c>
      <c r="J9" s="4">
        <f t="shared" si="2"/>
        <v>215000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'2023'!J10</f>
        <v>211500</v>
      </c>
      <c r="D10" s="19">
        <f>'2023'!M10</f>
        <v>0</v>
      </c>
      <c r="E10" s="8">
        <f t="shared" si="1"/>
        <v>0</v>
      </c>
      <c r="F10" s="4">
        <f>종목!H25</f>
        <v>299500</v>
      </c>
      <c r="G10" s="6">
        <f t="shared" si="0"/>
        <v>0.4160756501182033</v>
      </c>
      <c r="I10" s="29" t="s">
        <v>26</v>
      </c>
      <c r="J10" s="4">
        <f t="shared" si="2"/>
        <v>299500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'2023'!J11</f>
        <v>43300</v>
      </c>
      <c r="D11" s="4">
        <f>'2023'!M11</f>
        <v>0</v>
      </c>
      <c r="E11" s="8">
        <f t="shared" si="1"/>
        <v>0</v>
      </c>
      <c r="F11" s="4">
        <f>종목!M25</f>
        <v>61900</v>
      </c>
      <c r="G11" s="6">
        <f t="shared" si="0"/>
        <v>0.42956120092378752</v>
      </c>
      <c r="I11" s="29" t="s">
        <v>28</v>
      </c>
      <c r="J11" s="4">
        <f t="shared" si="2"/>
        <v>61900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'2023'!J12</f>
        <v>130000</v>
      </c>
      <c r="D12" s="4">
        <f>'2023'!M12</f>
        <v>0</v>
      </c>
      <c r="E12" s="8">
        <f t="shared" si="1"/>
        <v>0</v>
      </c>
      <c r="F12" s="4">
        <f>종목!C38</f>
        <v>219000</v>
      </c>
      <c r="G12" s="6">
        <f t="shared" si="0"/>
        <v>0.68461538461538463</v>
      </c>
      <c r="I12" s="29" t="s">
        <v>30</v>
      </c>
      <c r="J12" s="4">
        <f t="shared" si="2"/>
        <v>219000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'2023'!J13</f>
        <v>590000</v>
      </c>
      <c r="D13" s="4">
        <f>'2023'!M13</f>
        <v>0</v>
      </c>
      <c r="E13" s="8">
        <f t="shared" si="1"/>
        <v>0</v>
      </c>
      <c r="F13" s="4">
        <f>종목!H38</f>
        <v>300000</v>
      </c>
      <c r="G13" s="6">
        <f t="shared" si="0"/>
        <v>-0.49152542372881358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'2023'!J14</f>
        <v>189700</v>
      </c>
      <c r="D14" s="4">
        <f>'2023'!M14</f>
        <v>0</v>
      </c>
      <c r="E14" s="8">
        <f t="shared" si="1"/>
        <v>0</v>
      </c>
      <c r="F14" s="4">
        <f>종목!M38</f>
        <v>62200</v>
      </c>
      <c r="G14" s="6">
        <f t="shared" si="0"/>
        <v>-0.67211386399578277</v>
      </c>
      <c r="I14" s="29" t="s">
        <v>7</v>
      </c>
      <c r="J14" s="4">
        <f t="shared" si="2"/>
        <v>62200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'2023'!J15</f>
        <v>81500</v>
      </c>
      <c r="D15" s="4">
        <f>'2023'!M15</f>
        <v>0</v>
      </c>
      <c r="E15" s="8">
        <f t="shared" si="1"/>
        <v>0</v>
      </c>
      <c r="F15" s="4">
        <f>종목!C51</f>
        <v>126400</v>
      </c>
      <c r="G15" s="6">
        <f t="shared" si="0"/>
        <v>0.55092024539877305</v>
      </c>
      <c r="I15" s="29" t="s">
        <v>36</v>
      </c>
      <c r="J15" s="4">
        <f t="shared" si="2"/>
        <v>126400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1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0"/>
  <sheetViews>
    <sheetView workbookViewId="0">
      <selection activeCell="F5" sqref="F5:G15"/>
    </sheetView>
  </sheetViews>
  <sheetFormatPr defaultColWidth="9" defaultRowHeight="16.5" x14ac:dyDescent="0.3"/>
  <cols>
    <col min="1" max="1" width="9" style="1"/>
    <col min="2" max="2" width="18.125" style="5" customWidth="1"/>
    <col min="3" max="3" width="17.5" style="5" customWidth="1"/>
    <col min="4" max="4" width="18.125" style="5" customWidth="1"/>
    <col min="5" max="5" width="12.875" style="1" bestFit="1" customWidth="1"/>
    <col min="6" max="6" width="13.75" style="1" customWidth="1"/>
    <col min="7" max="7" width="13.5" style="1" customWidth="1"/>
    <col min="8" max="8" width="9" style="1"/>
    <col min="9" max="9" width="12.875" style="1" bestFit="1" customWidth="1"/>
    <col min="10" max="10" width="12" style="1" bestFit="1" customWidth="1"/>
    <col min="11" max="11" width="12.875" style="1" bestFit="1" customWidth="1"/>
    <col min="12" max="12" width="12.875" style="5" bestFit="1" customWidth="1"/>
    <col min="13" max="13" width="9.375" style="1" bestFit="1" customWidth="1"/>
    <col min="14" max="16384" width="9" style="1"/>
  </cols>
  <sheetData>
    <row r="2" spans="2:13" x14ac:dyDescent="0.3">
      <c r="B2" s="10" t="s">
        <v>45</v>
      </c>
      <c r="C2" s="10" t="s">
        <v>46</v>
      </c>
      <c r="D2" s="30" t="s">
        <v>44</v>
      </c>
      <c r="I2" s="21" t="s">
        <v>3</v>
      </c>
      <c r="J2" s="21" t="s">
        <v>15</v>
      </c>
      <c r="K2" s="21" t="s">
        <v>16</v>
      </c>
      <c r="L2" s="21" t="s">
        <v>10</v>
      </c>
      <c r="M2" s="24" t="s">
        <v>11</v>
      </c>
    </row>
    <row r="3" spans="2:13" x14ac:dyDescent="0.3">
      <c r="B3" s="4">
        <f>'2015'!E3+'2016'!B3+'2017'!B3+'2018'!B3+'2019'!B3+'2020'!B3+'2021'!B3+'2022'!B3+'2023'!B3+'2024'!B3</f>
        <v>0</v>
      </c>
      <c r="C3" s="4">
        <f>B3</f>
        <v>0</v>
      </c>
      <c r="D3" s="4">
        <f>L3-(B3+C3)</f>
        <v>0</v>
      </c>
      <c r="I3" s="4">
        <f>L3-M16</f>
        <v>0</v>
      </c>
      <c r="J3" s="4">
        <f>K16</f>
        <v>0</v>
      </c>
      <c r="K3" s="4">
        <f>L16</f>
        <v>0</v>
      </c>
      <c r="L3" s="4">
        <f>'2024'!L3+'2025'!E16+B3</f>
        <v>0</v>
      </c>
      <c r="M3" s="6" t="e">
        <f>(L3-'2015'!C3)/'2025'!L3</f>
        <v>#DIV/0!</v>
      </c>
    </row>
    <row r="4" spans="2:13" x14ac:dyDescent="0.3">
      <c r="I4" s="5"/>
      <c r="J4" s="5"/>
      <c r="K4" s="5"/>
    </row>
    <row r="5" spans="2:13" ht="32.25" customHeight="1" x14ac:dyDescent="0.3">
      <c r="B5" s="22" t="s">
        <v>0</v>
      </c>
      <c r="C5" s="22" t="s">
        <v>50</v>
      </c>
      <c r="D5" s="22" t="s">
        <v>1</v>
      </c>
      <c r="E5" s="22" t="s">
        <v>12</v>
      </c>
      <c r="F5" s="26" t="s">
        <v>51</v>
      </c>
      <c r="G5" s="26" t="s">
        <v>2</v>
      </c>
      <c r="I5" s="22" t="s">
        <v>0</v>
      </c>
      <c r="J5" s="22" t="s">
        <v>50</v>
      </c>
      <c r="K5" s="22" t="s">
        <v>13</v>
      </c>
      <c r="L5" s="22" t="s">
        <v>14</v>
      </c>
      <c r="M5" s="22" t="s">
        <v>1</v>
      </c>
    </row>
    <row r="6" spans="2:13" x14ac:dyDescent="0.3">
      <c r="B6" s="29" t="s">
        <v>4</v>
      </c>
      <c r="C6" s="4">
        <f>'2024'!J6</f>
        <v>55100</v>
      </c>
      <c r="D6" s="4">
        <f>'2024'!M6</f>
        <v>0</v>
      </c>
      <c r="E6" s="8">
        <f>(F6*D6)-(C6*D6)</f>
        <v>0</v>
      </c>
      <c r="F6" s="4">
        <f>종목!C13</f>
        <v>82700</v>
      </c>
      <c r="G6" s="6">
        <f t="shared" ref="G6:G15" si="0">(F6-C6)/C6</f>
        <v>0.50090744101633389</v>
      </c>
      <c r="I6" s="29" t="s">
        <v>4</v>
      </c>
      <c r="J6" s="4">
        <f>F6</f>
        <v>82700</v>
      </c>
      <c r="K6" s="18"/>
      <c r="L6" s="17"/>
      <c r="M6" s="17">
        <f>(D6-K6)+L6</f>
        <v>0</v>
      </c>
    </row>
    <row r="7" spans="2:13" x14ac:dyDescent="0.3">
      <c r="B7" s="29" t="s">
        <v>38</v>
      </c>
      <c r="C7" s="4">
        <f>'2024'!J7</f>
        <v>270600</v>
      </c>
      <c r="D7" s="4">
        <f>'2024'!M7</f>
        <v>0</v>
      </c>
      <c r="E7" s="8">
        <f t="shared" ref="E7:E15" si="1">(F7*D7)-(C7*D7)</f>
        <v>0</v>
      </c>
      <c r="F7" s="4">
        <f>종목!H13</f>
        <v>58600</v>
      </c>
      <c r="G7" s="6">
        <f t="shared" si="0"/>
        <v>-0.78344419807834442</v>
      </c>
      <c r="I7" s="29" t="s">
        <v>38</v>
      </c>
      <c r="J7" s="4">
        <f t="shared" ref="J7:J15" si="2">F7</f>
        <v>58600</v>
      </c>
      <c r="K7" s="18"/>
      <c r="L7" s="17"/>
      <c r="M7" s="17">
        <f t="shared" ref="M7:M15" si="3">(D7-K7)+L7</f>
        <v>0</v>
      </c>
    </row>
    <row r="8" spans="2:13" x14ac:dyDescent="0.3">
      <c r="B8" s="29" t="s">
        <v>5</v>
      </c>
      <c r="C8" s="4">
        <f>'2024'!J8</f>
        <v>86500</v>
      </c>
      <c r="D8" s="4">
        <f>'2024'!M8</f>
        <v>0</v>
      </c>
      <c r="E8" s="8">
        <f t="shared" si="1"/>
        <v>0</v>
      </c>
      <c r="F8" s="4">
        <f>종목!M13</f>
        <v>86500</v>
      </c>
      <c r="G8" s="6">
        <f t="shared" si="0"/>
        <v>0</v>
      </c>
      <c r="I8" s="29" t="s">
        <v>5</v>
      </c>
      <c r="J8" s="4">
        <f t="shared" si="2"/>
        <v>86500</v>
      </c>
      <c r="K8" s="18"/>
      <c r="L8" s="17"/>
      <c r="M8" s="17">
        <f t="shared" si="3"/>
        <v>0</v>
      </c>
    </row>
    <row r="9" spans="2:13" x14ac:dyDescent="0.3">
      <c r="B9" s="29" t="s">
        <v>24</v>
      </c>
      <c r="C9" s="4">
        <f>'2024'!J9</f>
        <v>215000</v>
      </c>
      <c r="D9" s="4">
        <f>'2024'!M9</f>
        <v>0</v>
      </c>
      <c r="E9" s="8">
        <f t="shared" si="1"/>
        <v>0</v>
      </c>
      <c r="F9" s="4">
        <f>종목!C26</f>
        <v>144000</v>
      </c>
      <c r="G9" s="6">
        <f t="shared" si="0"/>
        <v>-0.33023255813953489</v>
      </c>
      <c r="I9" s="29" t="s">
        <v>24</v>
      </c>
      <c r="J9" s="4">
        <f t="shared" si="2"/>
        <v>144000</v>
      </c>
      <c r="K9" s="18"/>
      <c r="L9" s="17"/>
      <c r="M9" s="17">
        <f t="shared" si="3"/>
        <v>0</v>
      </c>
    </row>
    <row r="10" spans="2:13" x14ac:dyDescent="0.3">
      <c r="B10" s="29" t="s">
        <v>26</v>
      </c>
      <c r="C10" s="4">
        <f>'2024'!J10</f>
        <v>299500</v>
      </c>
      <c r="D10" s="19">
        <f>'2024'!M10</f>
        <v>0</v>
      </c>
      <c r="E10" s="8">
        <f t="shared" si="1"/>
        <v>0</v>
      </c>
      <c r="F10" s="4">
        <f>종목!H26</f>
        <v>990000</v>
      </c>
      <c r="G10" s="6">
        <f t="shared" si="0"/>
        <v>2.30550918196995</v>
      </c>
      <c r="I10" s="29" t="s">
        <v>26</v>
      </c>
      <c r="J10" s="4">
        <f t="shared" si="2"/>
        <v>990000</v>
      </c>
      <c r="K10" s="18"/>
      <c r="L10" s="17"/>
      <c r="M10" s="17">
        <f t="shared" si="3"/>
        <v>0</v>
      </c>
    </row>
    <row r="11" spans="2:13" x14ac:dyDescent="0.3">
      <c r="B11" s="29" t="s">
        <v>28</v>
      </c>
      <c r="C11" s="4">
        <f>'2024'!J11</f>
        <v>61900</v>
      </c>
      <c r="D11" s="4">
        <f>'2024'!M11</f>
        <v>0</v>
      </c>
      <c r="E11" s="8">
        <f t="shared" si="1"/>
        <v>0</v>
      </c>
      <c r="F11" s="4">
        <f>종목!M26</f>
        <v>75100</v>
      </c>
      <c r="G11" s="6">
        <f t="shared" si="0"/>
        <v>0.21324717285945072</v>
      </c>
      <c r="I11" s="29" t="s">
        <v>28</v>
      </c>
      <c r="J11" s="4">
        <f t="shared" si="2"/>
        <v>75100</v>
      </c>
      <c r="K11" s="18"/>
      <c r="L11" s="17"/>
      <c r="M11" s="17">
        <f t="shared" si="3"/>
        <v>0</v>
      </c>
    </row>
    <row r="12" spans="2:13" x14ac:dyDescent="0.3">
      <c r="B12" s="29" t="s">
        <v>30</v>
      </c>
      <c r="C12" s="4">
        <f>'2024'!J12</f>
        <v>219000</v>
      </c>
      <c r="D12" s="4">
        <f>'2024'!M12</f>
        <v>0</v>
      </c>
      <c r="E12" s="8">
        <f t="shared" si="1"/>
        <v>0</v>
      </c>
      <c r="F12" s="4">
        <f>종목!C39</f>
        <v>994500</v>
      </c>
      <c r="G12" s="6">
        <f t="shared" si="0"/>
        <v>3.5410958904109591</v>
      </c>
      <c r="I12" s="29" t="s">
        <v>30</v>
      </c>
      <c r="J12" s="4">
        <f t="shared" si="2"/>
        <v>994500</v>
      </c>
      <c r="K12" s="18"/>
      <c r="L12" s="17"/>
      <c r="M12" s="17">
        <f t="shared" si="3"/>
        <v>0</v>
      </c>
    </row>
    <row r="13" spans="2:13" x14ac:dyDescent="0.3">
      <c r="B13" s="29" t="s">
        <v>6</v>
      </c>
      <c r="C13" s="4">
        <f>'2024'!J13</f>
        <v>300000</v>
      </c>
      <c r="D13" s="4">
        <f>'2024'!M13</f>
        <v>0</v>
      </c>
      <c r="E13" s="8">
        <f t="shared" si="1"/>
        <v>0</v>
      </c>
      <c r="F13" s="4">
        <f>종목!H39</f>
        <v>300000</v>
      </c>
      <c r="G13" s="6">
        <f t="shared" si="0"/>
        <v>0</v>
      </c>
      <c r="I13" s="29" t="s">
        <v>6</v>
      </c>
      <c r="J13" s="4">
        <f t="shared" si="2"/>
        <v>300000</v>
      </c>
      <c r="K13" s="18"/>
      <c r="L13" s="17"/>
      <c r="M13" s="17">
        <f t="shared" si="3"/>
        <v>0</v>
      </c>
    </row>
    <row r="14" spans="2:13" x14ac:dyDescent="0.3">
      <c r="B14" s="29" t="s">
        <v>7</v>
      </c>
      <c r="C14" s="4">
        <f>'2024'!J14</f>
        <v>62200</v>
      </c>
      <c r="D14" s="4">
        <f>'2024'!M14</f>
        <v>0</v>
      </c>
      <c r="E14" s="8">
        <f t="shared" si="1"/>
        <v>0</v>
      </c>
      <c r="F14" s="4">
        <f>종목!M39</f>
        <v>51800</v>
      </c>
      <c r="G14" s="6">
        <f t="shared" si="0"/>
        <v>-0.16720257234726688</v>
      </c>
      <c r="I14" s="29" t="s">
        <v>7</v>
      </c>
      <c r="J14" s="4">
        <f t="shared" si="2"/>
        <v>51800</v>
      </c>
      <c r="K14" s="18"/>
      <c r="L14" s="17"/>
      <c r="M14" s="17">
        <f t="shared" si="3"/>
        <v>0</v>
      </c>
    </row>
    <row r="15" spans="2:13" x14ac:dyDescent="0.3">
      <c r="B15" s="29" t="s">
        <v>36</v>
      </c>
      <c r="C15" s="4">
        <f>'2024'!J15</f>
        <v>126400</v>
      </c>
      <c r="D15" s="4">
        <f>'2024'!M15</f>
        <v>0</v>
      </c>
      <c r="E15" s="8">
        <f t="shared" si="1"/>
        <v>0</v>
      </c>
      <c r="F15" s="4">
        <f>종목!C52</f>
        <v>557800</v>
      </c>
      <c r="G15" s="6">
        <f t="shared" si="0"/>
        <v>3.412974683544304</v>
      </c>
      <c r="I15" s="29" t="s">
        <v>36</v>
      </c>
      <c r="J15" s="4">
        <f t="shared" si="2"/>
        <v>557800</v>
      </c>
      <c r="K15" s="18"/>
      <c r="L15" s="17"/>
      <c r="M15" s="17">
        <f t="shared" si="3"/>
        <v>0</v>
      </c>
    </row>
    <row r="16" spans="2:13" x14ac:dyDescent="0.3">
      <c r="B16" s="31" t="s">
        <v>8</v>
      </c>
      <c r="C16" s="31"/>
      <c r="D16" s="31"/>
      <c r="E16" s="9">
        <f>SUM(E6:E15)</f>
        <v>0</v>
      </c>
      <c r="F16" s="34"/>
      <c r="G16" s="35"/>
      <c r="I16" s="32" t="s">
        <v>8</v>
      </c>
      <c r="J16" s="33"/>
      <c r="K16" s="7">
        <f>(J6*K6)+(J7*K7)+(J8*K8)+(J9*K9)+(J10*K10)+(J11*K11)+(J12*K12)+(J13*K13)+(J14*K14)+(J15*K15)</f>
        <v>0</v>
      </c>
      <c r="L16" s="4">
        <f>(J6*L6)+(J7*L7)+(J8*L8)+(J9*L9)+(J10*L10)+(J11*L11)+(J12*L12)+(J13*L13)+(J14*L14)+(J15*L15)</f>
        <v>0</v>
      </c>
      <c r="M16" s="25">
        <f>J6*M6+J7*M7+J8*M8+J9*M9+J10*M10+J11*M11+J12*M12+J13*M13+J14*M14+J15*M15</f>
        <v>0</v>
      </c>
    </row>
    <row r="21" spans="14:14" x14ac:dyDescent="0.3">
      <c r="N21" s="2"/>
    </row>
    <row r="22" spans="14:14" x14ac:dyDescent="0.3">
      <c r="N22" s="2"/>
    </row>
    <row r="23" spans="14:14" x14ac:dyDescent="0.3">
      <c r="N23" s="2"/>
    </row>
    <row r="24" spans="14:14" x14ac:dyDescent="0.3">
      <c r="N24" s="2"/>
    </row>
    <row r="25" spans="14:14" x14ac:dyDescent="0.3">
      <c r="N25" s="2"/>
    </row>
    <row r="26" spans="14:14" x14ac:dyDescent="0.3">
      <c r="N26" s="2"/>
    </row>
    <row r="27" spans="14:14" x14ac:dyDescent="0.3">
      <c r="N27" s="2"/>
    </row>
    <row r="28" spans="14:14" x14ac:dyDescent="0.3">
      <c r="N28" s="2"/>
    </row>
    <row r="29" spans="14:14" x14ac:dyDescent="0.3">
      <c r="N29" s="2"/>
    </row>
    <row r="30" spans="14:14" x14ac:dyDescent="0.3">
      <c r="N30" s="2"/>
    </row>
  </sheetData>
  <mergeCells count="3">
    <mergeCell ref="B16:D16"/>
    <mergeCell ref="F16:G16"/>
    <mergeCell ref="I16:J16"/>
  </mergeCells>
  <phoneticPr fontId="2" type="noConversion"/>
  <conditionalFormatting sqref="I3">
    <cfRule type="expression" dxfId="0" priority="2">
      <formula>$I$3&lt;0</formula>
    </cfRule>
  </conditionalFormatting>
  <pageMargins left="0.7" right="0.7" top="0.75" bottom="0.75" header="0.3" footer="0.3"/>
  <pageSetup paperSize="9" orientation="portrait" horizontalDpi="150" verticalDpi="15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AC52"/>
  <sheetViews>
    <sheetView workbookViewId="0">
      <selection activeCell="B2" sqref="B2:C13"/>
    </sheetView>
  </sheetViews>
  <sheetFormatPr defaultRowHeight="16.5" x14ac:dyDescent="0.3"/>
  <cols>
    <col min="3" max="3" width="10.875" bestFit="1" customWidth="1"/>
    <col min="4" max="4" width="11.75" bestFit="1" customWidth="1"/>
    <col min="8" max="8" width="10.75" bestFit="1" customWidth="1"/>
    <col min="9" max="9" width="12.375" bestFit="1" customWidth="1"/>
    <col min="13" max="13" width="9.25" bestFit="1" customWidth="1"/>
    <col min="14" max="14" width="12" bestFit="1" customWidth="1"/>
    <col min="17" max="17" width="10.875" bestFit="1" customWidth="1"/>
    <col min="18" max="18" width="15.375" bestFit="1" customWidth="1"/>
    <col min="19" max="20" width="10.875" bestFit="1" customWidth="1"/>
    <col min="21" max="22" width="9.375" bestFit="1" customWidth="1"/>
    <col min="23" max="25" width="10.875" bestFit="1" customWidth="1"/>
    <col min="26" max="29" width="9.375" bestFit="1" customWidth="1"/>
  </cols>
  <sheetData>
    <row r="2" spans="2:29" x14ac:dyDescent="0.3">
      <c r="B2" s="21" t="s">
        <v>18</v>
      </c>
      <c r="C2" s="21" t="s">
        <v>50</v>
      </c>
      <c r="D2" s="21" t="s">
        <v>49</v>
      </c>
      <c r="E2" s="21" t="s">
        <v>19</v>
      </c>
      <c r="G2" s="21" t="s">
        <v>20</v>
      </c>
      <c r="H2" s="21" t="s">
        <v>50</v>
      </c>
      <c r="I2" s="21" t="s">
        <v>21</v>
      </c>
      <c r="J2" s="21" t="s">
        <v>19</v>
      </c>
      <c r="L2" s="21" t="s">
        <v>22</v>
      </c>
      <c r="M2" s="21" t="s">
        <v>50</v>
      </c>
      <c r="N2" s="21" t="s">
        <v>23</v>
      </c>
      <c r="O2" s="21" t="s">
        <v>19</v>
      </c>
      <c r="Q2" s="13"/>
      <c r="R2" s="13" t="s">
        <v>48</v>
      </c>
      <c r="S2" s="14">
        <v>2014</v>
      </c>
      <c r="T2" s="14">
        <v>2015</v>
      </c>
      <c r="U2" s="14">
        <v>2016</v>
      </c>
      <c r="V2" s="14">
        <v>2017</v>
      </c>
      <c r="W2" s="14">
        <v>2018</v>
      </c>
      <c r="X2" s="14">
        <v>2019</v>
      </c>
      <c r="Y2" s="14">
        <v>2020</v>
      </c>
      <c r="Z2" s="14">
        <v>2021</v>
      </c>
      <c r="AA2" s="14">
        <v>2022</v>
      </c>
      <c r="AB2" s="14">
        <v>2023</v>
      </c>
      <c r="AC2" s="14">
        <v>2024</v>
      </c>
    </row>
    <row r="3" spans="2:29" x14ac:dyDescent="0.3">
      <c r="B3" s="4">
        <f>[1]종목!B3</f>
        <v>2015</v>
      </c>
      <c r="C3" s="4">
        <f>[1]종목!$C$3</f>
        <v>49700</v>
      </c>
      <c r="D3" s="4" t="str">
        <f>[1]종목!D3</f>
        <v>11월</v>
      </c>
      <c r="E3" s="11"/>
      <c r="G3" s="4">
        <f>[1]종목!G3</f>
        <v>2015</v>
      </c>
      <c r="H3" s="4">
        <f>[1]종목!$H3</f>
        <v>60500</v>
      </c>
      <c r="I3" s="4" t="str">
        <f>[1]종목!I3</f>
        <v>7월</v>
      </c>
      <c r="J3" s="11"/>
      <c r="L3" s="4">
        <f>[1]종목!L3</f>
        <v>2015</v>
      </c>
      <c r="M3" s="4">
        <f>[1]종목!$M3</f>
        <v>39300</v>
      </c>
      <c r="N3" s="4" t="str">
        <f>[1]종목!N3</f>
        <v>8월</v>
      </c>
      <c r="O3" s="11"/>
      <c r="Q3" s="15" t="str">
        <f>B2</f>
        <v>A 엔터</v>
      </c>
      <c r="R3" s="15" t="str">
        <f>D2</f>
        <v>에스엠</v>
      </c>
      <c r="S3" s="16" cm="1">
        <f t="array" ref="S3">INDEX($C:$C,COLUMN(S3)-COLUMN($S$3)+3)</f>
        <v>49700</v>
      </c>
      <c r="T3" s="16" cm="1">
        <f t="array" ref="T3">INDEX($C:$C,COLUMN(T3)-COLUMN($S$3)+3)</f>
        <v>23800</v>
      </c>
      <c r="U3" s="16" cm="1">
        <f t="array" ref="U3">INDEX($C:$C,COLUMN(U3)-COLUMN($S$3)+3)</f>
        <v>39150</v>
      </c>
      <c r="V3" s="16" cm="1">
        <f t="array" ref="V3">INDEX($C:$C,COLUMN(V3)-COLUMN($S$3)+3)</f>
        <v>156900</v>
      </c>
      <c r="W3" s="16" cm="1">
        <f t="array" ref="W3">INDEX($C:$C,COLUMN(W3)-COLUMN($S$3)+3)</f>
        <v>27000</v>
      </c>
      <c r="X3" s="16" cm="1">
        <f t="array" ref="X3">INDEX($C:$C,COLUMN(X3)-COLUMN($S$3)+3)</f>
        <v>16350</v>
      </c>
      <c r="Y3" s="16" cm="1">
        <f t="array" ref="Y3">INDEX($C:$C,COLUMN(Y3)-COLUMN($S$3)+3)</f>
        <v>85000</v>
      </c>
      <c r="Z3" s="16" cm="1">
        <f t="array" ref="Z3">INDEX($C:$C,COLUMN(Z3)-COLUMN($S$3)+3)</f>
        <v>90000</v>
      </c>
      <c r="AA3" s="16" cm="1">
        <f t="array" ref="AA3">INDEX($C:$C,COLUMN(AA3)-COLUMN($S$3)+3)</f>
        <v>161200</v>
      </c>
      <c r="AB3" s="16" cm="1">
        <f t="array" ref="AB3">INDEX($C:$C,COLUMN(AB3)-COLUMN($S$3)+3)</f>
        <v>55100</v>
      </c>
      <c r="AC3" s="16" cm="1">
        <f t="array" ref="AC3">INDEX($C:$C,COLUMN(AC3)-COLUMN($S$3)+3)</f>
        <v>82700</v>
      </c>
    </row>
    <row r="4" spans="2:29" x14ac:dyDescent="0.3">
      <c r="B4" s="4">
        <f>[1]종목!B4</f>
        <v>2016</v>
      </c>
      <c r="C4" s="4">
        <f>[1]종목!$C$4</f>
        <v>23800</v>
      </c>
      <c r="D4" s="4" t="str">
        <f>[1]종목!D4</f>
        <v>11월</v>
      </c>
      <c r="E4" s="12">
        <f>(C4-C3)/C3</f>
        <v>-0.52112676056338025</v>
      </c>
      <c r="G4" s="4">
        <f>[1]종목!G4</f>
        <v>2016</v>
      </c>
      <c r="H4" s="4">
        <f>[1]종목!$H4</f>
        <v>205000</v>
      </c>
      <c r="I4" s="4" t="str">
        <f>[1]종목!I4</f>
        <v>10월</v>
      </c>
      <c r="J4" s="12">
        <f t="shared" ref="J4:J12" si="0">(H4-H3)/H3</f>
        <v>2.3884297520661155</v>
      </c>
      <c r="L4" s="4">
        <f>[1]종목!L4</f>
        <v>2016</v>
      </c>
      <c r="M4" s="4">
        <f>[1]종목!$M4</f>
        <v>44700</v>
      </c>
      <c r="N4" s="4" t="str">
        <f>[1]종목!N4</f>
        <v>12월</v>
      </c>
      <c r="O4" s="12">
        <f t="shared" ref="O4:O12" si="1">(M4-M3)/M3</f>
        <v>0.13740458015267176</v>
      </c>
      <c r="Q4" s="15" t="str">
        <f>G2</f>
        <v>B 여행</v>
      </c>
      <c r="R4" s="15" t="str">
        <f>I2</f>
        <v>하나투어</v>
      </c>
      <c r="S4" s="16" cm="1">
        <f t="array" ref="S4">INDEX($H:$H,COLUMN(S3)-COLUMN($S$3)+3)</f>
        <v>60500</v>
      </c>
      <c r="T4" s="16" cm="1">
        <f t="array" ref="T4">INDEX($H:$H,COLUMN(T3)-COLUMN($S$3)+3)</f>
        <v>205000</v>
      </c>
      <c r="U4" s="16" cm="1">
        <f t="array" ref="U4">INDEX($H:$H,COLUMN(U3)-COLUMN($S$3)+3)</f>
        <v>62500</v>
      </c>
      <c r="V4" s="16" cm="1">
        <f t="array" ref="V4">INDEX($H:$H,COLUMN(V3)-COLUMN($S$3)+3)</f>
        <v>55900</v>
      </c>
      <c r="W4" s="16" cm="1">
        <f t="array" ref="W4">INDEX($H:$H,COLUMN(W3)-COLUMN($S$3)+3)</f>
        <v>76400</v>
      </c>
      <c r="X4" s="16" cm="1">
        <f t="array" ref="X4">INDEX($H:$H,COLUMN(X3)-COLUMN($S$3)+3)</f>
        <v>26600</v>
      </c>
      <c r="Y4" s="16" cm="1">
        <f t="array" ref="Y4">INDEX($H:$H,COLUMN(Y3)-COLUMN($S$3)+3)</f>
        <v>94300</v>
      </c>
      <c r="Z4" s="16" cm="1">
        <f t="array" ref="Z4">INDEX($H:$H,COLUMN(Z3)-COLUMN($S$3)+3)</f>
        <v>47150</v>
      </c>
      <c r="AA4" s="16" cm="1">
        <f t="array" ref="AA4">INDEX($H:$H,COLUMN(AA3)-COLUMN($S$3)+3)</f>
        <v>53000</v>
      </c>
      <c r="AB4" s="16" cm="1">
        <f t="array" ref="AB4">INDEX($H:$H,COLUMN(AB3)-COLUMN($S$3)+3)</f>
        <v>270600</v>
      </c>
      <c r="AC4" s="16" cm="1">
        <f t="array" ref="AC4">INDEX($H:$H,COLUMN(AC3)-COLUMN($S$3)+3)</f>
        <v>58600</v>
      </c>
    </row>
    <row r="5" spans="2:29" x14ac:dyDescent="0.3">
      <c r="B5" s="4">
        <f>[1]종목!B5</f>
        <v>2017</v>
      </c>
      <c r="C5" s="4">
        <f>[1]종목!$C$5</f>
        <v>39150</v>
      </c>
      <c r="D5" s="4" t="str">
        <f>[1]종목!D5</f>
        <v>12월</v>
      </c>
      <c r="E5" s="12">
        <f t="shared" ref="E5:E12" si="2">(C5-C4)/C4</f>
        <v>0.64495798319327735</v>
      </c>
      <c r="G5" s="4">
        <f>[1]종목!G5</f>
        <v>2017</v>
      </c>
      <c r="H5" s="4">
        <f>[1]종목!$H5</f>
        <v>62500</v>
      </c>
      <c r="I5" s="4" t="str">
        <f>[1]종목!I5</f>
        <v>1월</v>
      </c>
      <c r="J5" s="12">
        <f t="shared" si="0"/>
        <v>-0.69512195121951215</v>
      </c>
      <c r="L5" s="4">
        <f>[1]종목!L5</f>
        <v>2017</v>
      </c>
      <c r="M5" s="4">
        <f>[1]종목!$M5</f>
        <v>109500</v>
      </c>
      <c r="N5" s="4" t="str">
        <f>[1]종목!N5</f>
        <v>12월</v>
      </c>
      <c r="O5" s="12">
        <f t="shared" si="1"/>
        <v>1.4496644295302012</v>
      </c>
      <c r="Q5" s="15" t="str">
        <f>L2</f>
        <v>C IT</v>
      </c>
      <c r="R5" s="15" t="str">
        <f>N2</f>
        <v>LG전자</v>
      </c>
      <c r="S5" s="16" cm="1">
        <f t="array" ref="S5">INDEX($M:$M,COLUMN(S3)-COLUMN($S$3)+3)</f>
        <v>39300</v>
      </c>
      <c r="T5" s="16" cm="1">
        <f t="array" ref="T5">INDEX($M:$M,COLUMN(T3)-COLUMN($S$3)+3)</f>
        <v>44700</v>
      </c>
      <c r="U5" s="16" cm="1">
        <f t="array" ref="U5">INDEX($M:$M,COLUMN(U3)-COLUMN($S$3)+3)</f>
        <v>109500</v>
      </c>
      <c r="V5" s="16" cm="1">
        <f t="array" ref="V5">INDEX($M:$M,COLUMN(V3)-COLUMN($S$3)+3)</f>
        <v>58800</v>
      </c>
      <c r="W5" s="16" cm="1">
        <f t="array" ref="W5">INDEX($M:$M,COLUMN(W3)-COLUMN($S$3)+3)</f>
        <v>58500</v>
      </c>
      <c r="X5" s="16" cm="1">
        <f t="array" ref="X5">INDEX($M:$M,COLUMN(X3)-COLUMN($S$3)+3)</f>
        <v>236500</v>
      </c>
      <c r="Y5" s="16" cm="1">
        <f t="array" ref="Y5">INDEX($M:$M,COLUMN(Y3)-COLUMN($S$3)+3)</f>
        <v>115000</v>
      </c>
      <c r="Z5" s="16" cm="1">
        <f t="array" ref="Z5">INDEX($M:$M,COLUMN(Z3)-COLUMN($S$3)+3)</f>
        <v>77200</v>
      </c>
      <c r="AA5" s="16" cm="1">
        <f t="array" ref="AA5">INDEX($M:$M,COLUMN(AA3)-COLUMN($S$3)+3)</f>
        <v>132400</v>
      </c>
      <c r="AB5" s="16" cm="1">
        <f t="array" ref="AB5">INDEX($M:$M,COLUMN(AB3)-COLUMN($S$3)+3)</f>
        <v>86500</v>
      </c>
      <c r="AC5" s="16" cm="1">
        <f t="array" ref="AC5">INDEX($M:$M,COLUMN(AC3)-COLUMN($S$3)+3)</f>
        <v>86500</v>
      </c>
    </row>
    <row r="6" spans="2:29" x14ac:dyDescent="0.3">
      <c r="B6" s="4">
        <f>[1]종목!B6</f>
        <v>2018</v>
      </c>
      <c r="C6" s="4">
        <f>[1]종목!$C$6</f>
        <v>156900</v>
      </c>
      <c r="D6" s="4" t="str">
        <f>[1]종목!D6</f>
        <v>11월</v>
      </c>
      <c r="E6" s="12">
        <f t="shared" si="2"/>
        <v>3.0076628352490422</v>
      </c>
      <c r="G6" s="4">
        <f>[1]종목!G6</f>
        <v>2018</v>
      </c>
      <c r="H6" s="4">
        <f>[1]종목!$H6</f>
        <v>55900</v>
      </c>
      <c r="I6" s="4" t="str">
        <f>[1]종목!I6</f>
        <v>10월</v>
      </c>
      <c r="J6" s="12">
        <f t="shared" si="0"/>
        <v>-0.1056</v>
      </c>
      <c r="L6" s="4">
        <f>[1]종목!L6</f>
        <v>2018</v>
      </c>
      <c r="M6" s="4">
        <f>[1]종목!$M6</f>
        <v>58800</v>
      </c>
      <c r="N6" s="4" t="str">
        <f>[1]종목!N6</f>
        <v>10월</v>
      </c>
      <c r="O6" s="12">
        <f t="shared" si="1"/>
        <v>-0.46301369863013697</v>
      </c>
      <c r="Q6" s="15" t="str">
        <f>B15</f>
        <v>D 바이오</v>
      </c>
      <c r="R6" s="15" t="str">
        <f>D15</f>
        <v>LG화학</v>
      </c>
      <c r="S6" s="16" cm="1">
        <f t="array" ref="S6">INDEX($C:$C,COLUMN(S6)-COLUMN($S$6)+16)</f>
        <v>35000</v>
      </c>
      <c r="T6" s="16" cm="1">
        <f t="array" ref="T6">INDEX($C:$C,COLUMN(T6)-COLUMN($S$6)+16)</f>
        <v>108000</v>
      </c>
      <c r="U6" s="16" cm="1">
        <f t="array" ref="U6">INDEX($C:$C,COLUMN(U6)-COLUMN($S$6)+16)</f>
        <v>196000</v>
      </c>
      <c r="V6" s="16" cm="1">
        <f t="array" ref="V6">INDEX($C:$C,COLUMN(V6)-COLUMN($S$6)+16)</f>
        <v>374000</v>
      </c>
      <c r="W6" s="16" cm="1">
        <f t="array" ref="W6">INDEX($C:$C,COLUMN(W6)-COLUMN($S$6)+16)</f>
        <v>125000</v>
      </c>
      <c r="X6" s="16" cm="1">
        <f t="array" ref="X6">INDEX($C:$C,COLUMN(X6)-COLUMN($S$6)+16)</f>
        <v>565000</v>
      </c>
      <c r="Y6" s="16" cm="1">
        <f t="array" ref="Y6">INDEX($C:$C,COLUMN(Y6)-COLUMN($S$6)+16)</f>
        <v>185000</v>
      </c>
      <c r="Z6" s="16" cm="1">
        <f t="array" ref="Z6">INDEX($C:$C,COLUMN(Z6)-COLUMN($S$6)+16)</f>
        <v>131000</v>
      </c>
      <c r="AA6" s="16" cm="1">
        <f t="array" ref="AA6">INDEX($C:$C,COLUMN(AA6)-COLUMN($S$6)+16)</f>
        <v>203000</v>
      </c>
      <c r="AB6" s="16" cm="1">
        <f t="array" ref="AB6">INDEX($C:$C,COLUMN(AB6)-COLUMN($S$6)+16)</f>
        <v>215000</v>
      </c>
      <c r="AC6" s="16" cm="1">
        <f t="array" ref="AC6">INDEX($C:$C,COLUMN(AC6)-COLUMN($S$6)+16)</f>
        <v>144000</v>
      </c>
    </row>
    <row r="7" spans="2:29" x14ac:dyDescent="0.3">
      <c r="B7" s="4">
        <f>[1]종목!B7</f>
        <v>2019</v>
      </c>
      <c r="C7" s="4">
        <f>[1]종목!$C$7</f>
        <v>27000</v>
      </c>
      <c r="D7" s="4" t="str">
        <f>[1]종목!D7</f>
        <v>8월</v>
      </c>
      <c r="E7" s="12">
        <f t="shared" si="2"/>
        <v>-0.82791586998087952</v>
      </c>
      <c r="G7" s="4">
        <f>[1]종목!G7</f>
        <v>2019</v>
      </c>
      <c r="H7" s="4">
        <f>[1]종목!$H7</f>
        <v>76400</v>
      </c>
      <c r="I7" s="4" t="str">
        <f>[1]종목!I7</f>
        <v>12월</v>
      </c>
      <c r="J7" s="12">
        <f t="shared" si="0"/>
        <v>0.36672629695885511</v>
      </c>
      <c r="L7" s="4">
        <f>[1]종목!L7</f>
        <v>2019</v>
      </c>
      <c r="M7" s="4">
        <f>[1]종목!$M7</f>
        <v>58500</v>
      </c>
      <c r="N7" s="4" t="str">
        <f>[1]종목!N7</f>
        <v>8월</v>
      </c>
      <c r="O7" s="12">
        <f t="shared" si="1"/>
        <v>-5.1020408163265302E-3</v>
      </c>
      <c r="Q7" s="15" t="str">
        <f>G15</f>
        <v>E 자동차</v>
      </c>
      <c r="R7" s="15" t="str">
        <f>I15</f>
        <v>현대차</v>
      </c>
      <c r="S7" s="16" cm="1">
        <f t="array" ref="S7">INDEX($H:$H,COLUMN(S6)-COLUMN($S$6)+16)</f>
        <v>123000</v>
      </c>
      <c r="T7" s="16" cm="1">
        <f t="array" ref="T7">INDEX($H:$H,COLUMN(T6)-COLUMN($S$6)+16)</f>
        <v>126500</v>
      </c>
      <c r="U7" s="16" cm="1">
        <f t="array" ref="U7">INDEX($H:$H,COLUMN(U6)-COLUMN($S$6)+16)</f>
        <v>133000</v>
      </c>
      <c r="V7" s="16" cm="1">
        <f t="array" ref="V7">INDEX($H:$H,COLUMN(V6)-COLUMN($S$6)+16)</f>
        <v>92500</v>
      </c>
      <c r="W7" s="16" cm="1">
        <f t="array" ref="W7">INDEX($H:$H,COLUMN(W6)-COLUMN($S$6)+16)</f>
        <v>143500</v>
      </c>
      <c r="X7" s="16" cm="1">
        <f t="array" ref="X7">INDEX($H:$H,COLUMN(X6)-COLUMN($S$6)+16)</f>
        <v>199000</v>
      </c>
      <c r="Y7" s="16" cm="1">
        <f t="array" ref="Y7">INDEX($H:$H,COLUMN(Y6)-COLUMN($S$6)+16)</f>
        <v>289000</v>
      </c>
      <c r="Z7" s="16" cm="1">
        <f t="array" ref="Z7">INDEX($H:$H,COLUMN(Z6)-COLUMN($S$6)+16)</f>
        <v>160000</v>
      </c>
      <c r="AA7" s="16" cm="1">
        <f t="array" ref="AA7">INDEX($H:$H,COLUMN(AA6)-COLUMN($S$6)+16)</f>
        <v>211500</v>
      </c>
      <c r="AB7" s="16" cm="1">
        <f t="array" ref="AB7">INDEX($H:$H,COLUMN(AB6)-COLUMN($S$6)+16)</f>
        <v>299500</v>
      </c>
      <c r="AC7" s="16" cm="1">
        <f t="array" ref="AC7">INDEX($H:$H,COLUMN(AC6)-COLUMN($S$6)+16)</f>
        <v>990000</v>
      </c>
    </row>
    <row r="8" spans="2:29" x14ac:dyDescent="0.3">
      <c r="B8" s="4">
        <f>[1]종목!B8</f>
        <v>2020</v>
      </c>
      <c r="C8" s="4">
        <f>[1]종목!$C$8</f>
        <v>16350</v>
      </c>
      <c r="D8" s="4" t="str">
        <f>[1]종목!D8</f>
        <v>3월</v>
      </c>
      <c r="E8" s="12">
        <f t="shared" si="2"/>
        <v>-0.39444444444444443</v>
      </c>
      <c r="G8" s="4">
        <f>[1]종목!G8</f>
        <v>2020</v>
      </c>
      <c r="H8" s="4">
        <f>[1]종목!$H8</f>
        <v>26600</v>
      </c>
      <c r="I8" s="4" t="str">
        <f>[1]종목!I8</f>
        <v>3월</v>
      </c>
      <c r="J8" s="12">
        <f t="shared" si="0"/>
        <v>-0.65183246073298429</v>
      </c>
      <c r="L8" s="4">
        <f>[1]종목!L8</f>
        <v>2020</v>
      </c>
      <c r="M8" s="4">
        <f>[1]종목!$M8</f>
        <v>236500</v>
      </c>
      <c r="N8" s="4" t="str">
        <f>[1]종목!N8</f>
        <v>12월</v>
      </c>
      <c r="O8" s="12">
        <f t="shared" si="1"/>
        <v>3.0427350427350426</v>
      </c>
      <c r="Q8" s="15" t="str">
        <f>L15</f>
        <v>F 통신</v>
      </c>
      <c r="R8" s="15" t="str">
        <f>N15</f>
        <v>SK텔레콤</v>
      </c>
      <c r="S8" s="16" cm="1">
        <f t="array" ref="S8">INDEX($M:$M,COLUMN(S6)-COLUMN($S$6)+16)</f>
        <v>42800</v>
      </c>
      <c r="T8" s="16" cm="1">
        <f t="array" ref="T8">INDEX($M:$M,COLUMN(T6)-COLUMN($S$6)+16)</f>
        <v>38300</v>
      </c>
      <c r="U8" s="16" cm="1">
        <f t="array" ref="U8">INDEX($M:$M,COLUMN(U6)-COLUMN($S$6)+16)</f>
        <v>57600</v>
      </c>
      <c r="V8" s="16" cm="1">
        <f t="array" ref="V8">INDEX($M:$M,COLUMN(V6)-COLUMN($S$6)+16)</f>
        <v>58200</v>
      </c>
      <c r="W8" s="16" cm="1">
        <f t="array" ref="W8">INDEX($M:$M,COLUMN(W6)-COLUMN($S$6)+16)</f>
        <v>458000</v>
      </c>
      <c r="X8" s="16" cm="1">
        <f t="array" ref="X8">INDEX($M:$M,COLUMN(X6)-COLUMN($S$6)+16)</f>
        <v>50300</v>
      </c>
      <c r="Y8" s="16" cm="1">
        <f t="array" ref="Y8">INDEX($M:$M,COLUMN(Y6)-COLUMN($S$6)+16)</f>
        <v>47000</v>
      </c>
      <c r="Z8" s="16" cm="1">
        <f t="array" ref="Z8">INDEX($M:$M,COLUMN(Z6)-COLUMN($S$6)+16)</f>
        <v>61900</v>
      </c>
      <c r="AA8" s="16" cm="1">
        <f t="array" ref="AA8">INDEX($M:$M,COLUMN(AA6)-COLUMN($S$6)+16)</f>
        <v>43300</v>
      </c>
      <c r="AB8" s="16" cm="1">
        <f t="array" ref="AB8">INDEX($M:$M,COLUMN(AB6)-COLUMN($S$6)+16)</f>
        <v>61900</v>
      </c>
      <c r="AC8" s="16" cm="1">
        <f t="array" ref="AC8">INDEX($M:$M,COLUMN(AC6)-COLUMN($S$6)+16)</f>
        <v>75100</v>
      </c>
    </row>
    <row r="9" spans="2:29" x14ac:dyDescent="0.3">
      <c r="B9" s="4">
        <f>[1]종목!B9</f>
        <v>2021</v>
      </c>
      <c r="C9" s="4">
        <f>[1]종목!$C$9</f>
        <v>85000</v>
      </c>
      <c r="D9" s="4" t="str">
        <f>[1]종목!D9</f>
        <v>10월</v>
      </c>
      <c r="E9" s="12">
        <f t="shared" si="2"/>
        <v>4.1987767584097861</v>
      </c>
      <c r="G9" s="4">
        <f>[1]종목!G9</f>
        <v>2021</v>
      </c>
      <c r="H9" s="4">
        <f>[1]종목!$H9</f>
        <v>94300</v>
      </c>
      <c r="I9" s="4" t="str">
        <f>[1]종목!I9</f>
        <v>6월</v>
      </c>
      <c r="J9" s="12">
        <f t="shared" si="0"/>
        <v>2.5451127819548871</v>
      </c>
      <c r="L9" s="4">
        <f>[1]종목!L9</f>
        <v>2021</v>
      </c>
      <c r="M9" s="4">
        <f>[1]종목!$M9</f>
        <v>115000</v>
      </c>
      <c r="N9" s="4" t="str">
        <f>[1]종목!N9</f>
        <v>11월</v>
      </c>
      <c r="O9" s="12">
        <f t="shared" si="1"/>
        <v>-0.51374207188160681</v>
      </c>
      <c r="Q9" s="15" t="str">
        <f>B28</f>
        <v>G 조선</v>
      </c>
      <c r="R9" s="15" t="str">
        <f>D28</f>
        <v>한국조선해양</v>
      </c>
      <c r="S9" s="16" cm="1">
        <f t="array" ref="S9">INDEX($C:$C,COLUMN(S6)-COLUMN($S$6)+29)</f>
        <v>80600</v>
      </c>
      <c r="T9" s="16" cm="1">
        <f t="array" ref="T9">INDEX($C:$C,COLUMN(T6)-COLUMN($S$6)+29)</f>
        <v>166000</v>
      </c>
      <c r="U9" s="16" cm="1">
        <f t="array" ref="U9">INDEX($C:$C,COLUMN(U6)-COLUMN($S$6)+29)</f>
        <v>187500</v>
      </c>
      <c r="V9" s="16" cm="1">
        <f t="array" ref="V9">INDEX($C:$C,COLUMN(V6)-COLUMN($S$6)+29)</f>
        <v>93700</v>
      </c>
      <c r="W9" s="16" cm="1">
        <f t="array" ref="W9">INDEX($C:$C,COLUMN(W6)-COLUMN($S$6)+29)</f>
        <v>93800</v>
      </c>
      <c r="X9" s="16" cm="1">
        <f t="array" ref="X9">INDEX($C:$C,COLUMN(X6)-COLUMN($S$6)+29)</f>
        <v>64200</v>
      </c>
      <c r="Y9" s="16" cm="1">
        <f t="array" ref="Y9">INDEX($C:$C,COLUMN(Y6)-COLUMN($S$6)+29)</f>
        <v>163500</v>
      </c>
      <c r="Z9" s="16" cm="1">
        <f t="array" ref="Z9">INDEX($C:$C,COLUMN(Z6)-COLUMN($S$6)+29)</f>
        <v>68600</v>
      </c>
      <c r="AA9" s="16" cm="1">
        <f t="array" ref="AA9">INDEX($C:$C,COLUMN(AA6)-COLUMN($S$6)+29)</f>
        <v>130000</v>
      </c>
      <c r="AB9" s="16" cm="1">
        <f t="array" ref="AB9">INDEX($C:$C,COLUMN(AB6)-COLUMN($S$6)+29)</f>
        <v>219000</v>
      </c>
      <c r="AC9" s="16" cm="1">
        <f t="array" ref="AC9">INDEX($C:$C,COLUMN(AC6)-COLUMN($S$6)+29)</f>
        <v>994500</v>
      </c>
    </row>
    <row r="10" spans="2:29" x14ac:dyDescent="0.3">
      <c r="B10" s="4">
        <f>[1]종목!B10</f>
        <v>2022</v>
      </c>
      <c r="C10" s="4">
        <f>[1]종목!$C$10</f>
        <v>90000</v>
      </c>
      <c r="D10" s="4" t="str">
        <f>[1]종목!D10</f>
        <v>4월</v>
      </c>
      <c r="E10" s="12">
        <f t="shared" si="2"/>
        <v>5.8823529411764705E-2</v>
      </c>
      <c r="G10" s="4">
        <f>[1]종목!G10</f>
        <v>2022</v>
      </c>
      <c r="H10" s="4">
        <f>[1]종목!$H10</f>
        <v>47150</v>
      </c>
      <c r="I10" s="4" t="str">
        <f>[1]종목!I10</f>
        <v>11월</v>
      </c>
      <c r="J10" s="12">
        <f t="shared" si="0"/>
        <v>-0.5</v>
      </c>
      <c r="L10" s="4">
        <f>[1]종목!L10</f>
        <v>2022</v>
      </c>
      <c r="M10" s="4">
        <f>[1]종목!$M10</f>
        <v>77200</v>
      </c>
      <c r="N10" s="4" t="str">
        <f>[1]종목!N10</f>
        <v>10월</v>
      </c>
      <c r="O10" s="12">
        <f t="shared" si="1"/>
        <v>-0.32869565217391306</v>
      </c>
      <c r="Q10" s="15" t="str">
        <f>G28</f>
        <v>H 뷰티</v>
      </c>
      <c r="R10" s="15" t="str">
        <f>I28</f>
        <v>LG생활건강</v>
      </c>
      <c r="S10" s="16" cm="1">
        <f t="array" ref="S10">INDEX($H:$H,COLUMN(S6)-COLUMN($S$6)+29)</f>
        <v>1066000</v>
      </c>
      <c r="T10" s="16" cm="1">
        <f t="array" ref="T10">INDEX($H:$H,COLUMN(T6)-COLUMN($S$6)+29)</f>
        <v>740000</v>
      </c>
      <c r="U10" s="16" cm="1">
        <f t="array" ref="U10">INDEX($H:$H,COLUMN(U6)-COLUMN($S$6)+29)</f>
        <v>774000</v>
      </c>
      <c r="V10" s="16" cm="1">
        <f t="array" ref="V10">INDEX($H:$H,COLUMN(V6)-COLUMN($S$6)+29)</f>
        <v>1010000</v>
      </c>
      <c r="W10" s="16" cm="1">
        <f t="array" ref="W10">INDEX($H:$H,COLUMN(W6)-COLUMN($S$6)+29)</f>
        <v>1466000</v>
      </c>
      <c r="X10" s="16" cm="1">
        <f t="array" ref="X10">INDEX($H:$H,COLUMN(X6)-COLUMN($S$6)+29)</f>
        <v>3649000</v>
      </c>
      <c r="Y10" s="16" cm="1">
        <f t="array" ref="Y10">INDEX($H:$H,COLUMN(Y6)-COLUMN($S$6)+29)</f>
        <v>971000</v>
      </c>
      <c r="Z10" s="16" cm="1">
        <f t="array" ref="Z10">INDEX($H:$H,COLUMN(Z6)-COLUMN($S$6)+29)</f>
        <v>499500</v>
      </c>
      <c r="AA10" s="16" cm="1">
        <f t="array" ref="AA10">INDEX($H:$H,COLUMN(AA6)-COLUMN($S$6)+29)</f>
        <v>590000</v>
      </c>
      <c r="AB10" s="16" cm="1">
        <f t="array" ref="AB10">INDEX($H:$H,COLUMN(AB6)-COLUMN($S$6)+29)</f>
        <v>300000</v>
      </c>
      <c r="AC10" s="16" cm="1">
        <f t="array" ref="AC10">INDEX($H:$H,COLUMN(AC6)-COLUMN($S$6)+29)</f>
        <v>300000</v>
      </c>
    </row>
    <row r="11" spans="2:29" x14ac:dyDescent="0.3">
      <c r="B11" s="4">
        <f>[1]종목!B11</f>
        <v>2023</v>
      </c>
      <c r="C11" s="4">
        <f>[1]종목!$C$11</f>
        <v>161200</v>
      </c>
      <c r="D11" s="4" t="str">
        <f>[1]종목!D11</f>
        <v>3월</v>
      </c>
      <c r="E11" s="12">
        <f t="shared" si="2"/>
        <v>0.7911111111111111</v>
      </c>
      <c r="G11" s="4">
        <f>[1]종목!G11</f>
        <v>2023</v>
      </c>
      <c r="H11" s="4">
        <f>[1]종목!$H11</f>
        <v>53000</v>
      </c>
      <c r="I11" s="4" t="str">
        <f>[1]종목!I11</f>
        <v>8월</v>
      </c>
      <c r="J11" s="12">
        <f t="shared" si="0"/>
        <v>0.12407211028632026</v>
      </c>
      <c r="L11" s="4">
        <f>[1]종목!L11</f>
        <v>2023</v>
      </c>
      <c r="M11" s="4">
        <f>[1]종목!$M11</f>
        <v>132400</v>
      </c>
      <c r="N11" s="4" t="str">
        <f>[1]종목!N11</f>
        <v>7월</v>
      </c>
      <c r="O11" s="12">
        <f t="shared" si="1"/>
        <v>0.71502590673575128</v>
      </c>
      <c r="Q11" s="15" t="str">
        <f>L28</f>
        <v>I 화학</v>
      </c>
      <c r="R11" s="15" t="str">
        <f>N28</f>
        <v>롯데케미칼</v>
      </c>
      <c r="S11" s="16" cm="1">
        <f t="array" ref="S11">INDEX($M:$M,COLUMN(S6)-COLUMN($S$6)+29)</f>
        <v>305000</v>
      </c>
      <c r="T11" s="16" cm="1">
        <f t="array" ref="T11">INDEX($M:$M,COLUMN(T6)-COLUMN($S$6)+29)</f>
        <v>370000</v>
      </c>
      <c r="U11" s="16" cm="1">
        <f t="array" ref="U11">INDEX($M:$M,COLUMN(U6)-COLUMN($S$6)+29)</f>
        <v>422000</v>
      </c>
      <c r="V11" s="16" cm="1">
        <f t="array" ref="V11">INDEX($M:$M,COLUMN(V6)-COLUMN($S$6)+29)</f>
        <v>247000</v>
      </c>
      <c r="W11" s="16" cm="1">
        <f t="array" ref="W11">INDEX($M:$M,COLUMN(W6)-COLUMN($S$6)+29)</f>
        <v>207500</v>
      </c>
      <c r="X11" s="16" cm="1">
        <f t="array" ref="X11">INDEX($M:$M,COLUMN(X6)-COLUMN($S$6)+29)</f>
        <v>114500</v>
      </c>
      <c r="Y11" s="16" cm="1">
        <f t="array" ref="Y11">INDEX($M:$M,COLUMN(Y6)-COLUMN($S$6)+29)</f>
        <v>538000</v>
      </c>
      <c r="Z11" s="16" cm="1">
        <f t="array" ref="Z11">INDEX($M:$M,COLUMN(Z6)-COLUMN($S$6)+29)</f>
        <v>134303</v>
      </c>
      <c r="AA11" s="16" cm="1">
        <f t="array" ref="AA11">INDEX($M:$M,COLUMN(AA6)-COLUMN($S$6)+29)</f>
        <v>189700</v>
      </c>
      <c r="AB11" s="16" cm="1">
        <f t="array" ref="AB11">INDEX($M:$M,COLUMN(AB6)-COLUMN($S$6)+29)</f>
        <v>62200</v>
      </c>
      <c r="AC11" s="16" cm="1">
        <f t="array" ref="AC11">INDEX($M:$M,COLUMN(AC6)-COLUMN($S$6)+29)</f>
        <v>51800</v>
      </c>
    </row>
    <row r="12" spans="2:29" x14ac:dyDescent="0.3">
      <c r="B12" s="4">
        <f>[1]종목!B12</f>
        <v>2024</v>
      </c>
      <c r="C12" s="4">
        <f>[1]종목!$C$12</f>
        <v>55100</v>
      </c>
      <c r="D12" s="4" t="str">
        <f>[1]종목!D12</f>
        <v>9월</v>
      </c>
      <c r="E12" s="12">
        <f t="shared" si="2"/>
        <v>-0.65818858560794047</v>
      </c>
      <c r="G12" s="4">
        <f>[1]종목!G12</f>
        <v>2024</v>
      </c>
      <c r="H12" s="4">
        <f>[1]종목!$H12</f>
        <v>270600</v>
      </c>
      <c r="I12" s="4" t="str">
        <f>[1]종목!I12</f>
        <v>4월</v>
      </c>
      <c r="J12" s="12">
        <f t="shared" si="0"/>
        <v>4.1056603773584905</v>
      </c>
      <c r="L12" s="4">
        <f>[1]종목!L12</f>
        <v>2024</v>
      </c>
      <c r="M12" s="4">
        <f>[1]종목!$M12</f>
        <v>86500</v>
      </c>
      <c r="N12" s="4" t="str">
        <f>[1]종목!N12</f>
        <v>8월</v>
      </c>
      <c r="O12" s="12">
        <f t="shared" si="1"/>
        <v>-0.34667673716012087</v>
      </c>
      <c r="Q12" s="15" t="str">
        <f>B41</f>
        <v>J 식품</v>
      </c>
      <c r="R12" s="15" t="str">
        <f>D41</f>
        <v>KT&amp;G</v>
      </c>
      <c r="S12" s="16" cm="1">
        <f t="array" ref="S12">INDEX($C:$C,COLUMN(S6)-COLUMN($S$6)+42)</f>
        <v>120500</v>
      </c>
      <c r="T12" s="16" cm="1">
        <f t="array" ref="T12">INDEX($C:$C,COLUMN(T6)-COLUMN($S$6)+42)</f>
        <v>139500</v>
      </c>
      <c r="U12" s="16" cm="1">
        <f t="array" ref="U12">INDEX($C:$C,COLUMN(U6)-COLUMN($S$6)+42)</f>
        <v>94900</v>
      </c>
      <c r="V12" s="16" cm="1">
        <f t="array" ref="V12">INDEX($C:$C,COLUMN(V6)-COLUMN($S$6)+42)</f>
        <v>95500</v>
      </c>
      <c r="W12" s="16" cm="1">
        <f t="array" ref="W12">INDEX($C:$C,COLUMN(W6)-COLUMN($S$6)+42)</f>
        <v>93700</v>
      </c>
      <c r="X12" s="16" cm="1">
        <f t="array" ref="X12">INDEX($C:$C,COLUMN(X6)-COLUMN($S$6)+42)</f>
        <v>98100</v>
      </c>
      <c r="Y12" s="16" cm="1">
        <f t="array" ref="Y12">INDEX($C:$C,COLUMN(Y6)-COLUMN($S$6)+42)</f>
        <v>78000</v>
      </c>
      <c r="Z12" s="16" cm="1">
        <f t="array" ref="Z12">INDEX($C:$C,COLUMN(Z6)-COLUMN($S$6)+42)</f>
        <v>300000</v>
      </c>
      <c r="AA12" s="16" cm="1">
        <f t="array" ref="AA12">INDEX($C:$C,COLUMN(AA6)-COLUMN($S$6)+42)</f>
        <v>81500</v>
      </c>
      <c r="AB12" s="16" cm="1">
        <f t="array" ref="AB12">INDEX($C:$C,COLUMN(AB6)-COLUMN($S$6)+42)</f>
        <v>126400</v>
      </c>
      <c r="AC12" s="16" cm="1">
        <f t="array" ref="AC12">INDEX($C:$C,COLUMN(AC6)-COLUMN($S$6)+42)</f>
        <v>557800</v>
      </c>
    </row>
    <row r="13" spans="2:29" x14ac:dyDescent="0.3">
      <c r="B13" s="4">
        <f>[1]종목!B13</f>
        <v>2025</v>
      </c>
      <c r="C13" s="4">
        <f>[1]종목!$C$13</f>
        <v>82700</v>
      </c>
      <c r="D13" s="4" t="str">
        <f>[1]종목!D13</f>
        <v>2월</v>
      </c>
      <c r="E13" s="12">
        <f>(C13-C12)/C12</f>
        <v>0.50090744101633389</v>
      </c>
      <c r="G13" s="4">
        <f>[1]종목!G13</f>
        <v>2025</v>
      </c>
      <c r="H13" s="4">
        <f>[1]종목!$H13</f>
        <v>58600</v>
      </c>
      <c r="I13" s="4" t="str">
        <f>[1]종목!I13</f>
        <v>2월</v>
      </c>
      <c r="J13" s="12">
        <f>(H13-H12)/H12</f>
        <v>-0.78344419807834442</v>
      </c>
      <c r="L13" s="4">
        <f>[1]종목!L13</f>
        <v>2025</v>
      </c>
      <c r="M13" s="4">
        <v>86500</v>
      </c>
      <c r="N13" s="4" t="str">
        <f>[1]종목!N13</f>
        <v>4월</v>
      </c>
      <c r="O13" s="12">
        <f>(M13-M12)/M12</f>
        <v>0</v>
      </c>
    </row>
    <row r="15" spans="2:29" x14ac:dyDescent="0.3">
      <c r="B15" s="21" t="s">
        <v>24</v>
      </c>
      <c r="C15" s="21" t="s">
        <v>50</v>
      </c>
      <c r="D15" s="21" t="s">
        <v>25</v>
      </c>
      <c r="E15" s="21" t="s">
        <v>19</v>
      </c>
      <c r="G15" s="21" t="s">
        <v>26</v>
      </c>
      <c r="H15" s="21" t="s">
        <v>50</v>
      </c>
      <c r="I15" s="21" t="s">
        <v>27</v>
      </c>
      <c r="J15" s="21" t="s">
        <v>19</v>
      </c>
      <c r="L15" s="21" t="s">
        <v>28</v>
      </c>
      <c r="M15" s="21" t="s">
        <v>50</v>
      </c>
      <c r="N15" s="21" t="s">
        <v>29</v>
      </c>
      <c r="O15" s="21" t="s">
        <v>19</v>
      </c>
    </row>
    <row r="16" spans="2:29" x14ac:dyDescent="0.3">
      <c r="B16" s="4">
        <f>[1]종목!B16</f>
        <v>2015</v>
      </c>
      <c r="C16" s="4">
        <f>[1]종목!$C16</f>
        <v>35000</v>
      </c>
      <c r="D16" s="4" t="str">
        <f>[1]종목!D16</f>
        <v>12월</v>
      </c>
      <c r="E16" s="11"/>
      <c r="G16" s="4">
        <f>[1]종목!G16</f>
        <v>2015</v>
      </c>
      <c r="H16" s="4">
        <f>[1]종목!$H16</f>
        <v>123000</v>
      </c>
      <c r="I16" s="4" t="str">
        <f>[1]종목!I16</f>
        <v>7월</v>
      </c>
      <c r="J16" s="11"/>
      <c r="L16" s="4">
        <f>[1]종목!L16</f>
        <v>2015</v>
      </c>
      <c r="M16" s="4">
        <f>[1]종목!$M16</f>
        <v>42800</v>
      </c>
      <c r="N16" s="4" t="str">
        <f>[1]종목!N16</f>
        <v>12월</v>
      </c>
      <c r="O16" s="11"/>
    </row>
    <row r="17" spans="2:15" x14ac:dyDescent="0.3">
      <c r="B17" s="4">
        <f>[1]종목!B17</f>
        <v>2016</v>
      </c>
      <c r="C17" s="4">
        <f>[1]종목!$C17</f>
        <v>108000</v>
      </c>
      <c r="D17" s="4" t="str">
        <f>[1]종목!D17</f>
        <v>11월</v>
      </c>
      <c r="E17" s="12">
        <f t="shared" ref="E17:E25" si="3">(C17-C16)/C16</f>
        <v>2.0857142857142859</v>
      </c>
      <c r="G17" s="4">
        <f>[1]종목!G17</f>
        <v>2016</v>
      </c>
      <c r="H17" s="4">
        <f>[1]종목!$H17</f>
        <v>126500</v>
      </c>
      <c r="I17" s="4" t="str">
        <f>[1]종목!I17</f>
        <v>2월</v>
      </c>
      <c r="J17" s="12">
        <f t="shared" ref="J17:J25" si="4">(H17-H16)/H16</f>
        <v>2.8455284552845527E-2</v>
      </c>
      <c r="L17" s="4">
        <f>[1]종목!L17</f>
        <v>2016</v>
      </c>
      <c r="M17" s="4">
        <f>[1]종목!$M17</f>
        <v>38300</v>
      </c>
      <c r="N17" s="4" t="str">
        <f>[1]종목!N17</f>
        <v>1월</v>
      </c>
      <c r="O17" s="12">
        <f t="shared" ref="O17:O25" si="5">(M17-M16)/M16</f>
        <v>-0.10514018691588785</v>
      </c>
    </row>
    <row r="18" spans="2:15" x14ac:dyDescent="0.3">
      <c r="B18" s="4">
        <f>[1]종목!B18</f>
        <v>2017</v>
      </c>
      <c r="C18" s="4">
        <f>[1]종목!$C18</f>
        <v>196000</v>
      </c>
      <c r="D18" s="4" t="str">
        <f>[1]종목!D18</f>
        <v>11월</v>
      </c>
      <c r="E18" s="12">
        <f t="shared" si="3"/>
        <v>0.81481481481481477</v>
      </c>
      <c r="G18" s="4">
        <f>[1]종목!G18</f>
        <v>2017</v>
      </c>
      <c r="H18" s="4">
        <f>[1]종목!$H18</f>
        <v>133000</v>
      </c>
      <c r="I18" s="4" t="str">
        <f>[1]종목!I18</f>
        <v>9월</v>
      </c>
      <c r="J18" s="12">
        <f t="shared" si="4"/>
        <v>5.1383399209486168E-2</v>
      </c>
      <c r="L18" s="4">
        <f>[1]종목!L18</f>
        <v>2017</v>
      </c>
      <c r="M18" s="4">
        <f>[1]종목!$M18</f>
        <v>57600</v>
      </c>
      <c r="N18" s="4" t="str">
        <f>[1]종목!N18</f>
        <v>8월</v>
      </c>
      <c r="O18" s="12">
        <f t="shared" si="5"/>
        <v>0.50391644908616184</v>
      </c>
    </row>
    <row r="19" spans="2:15" x14ac:dyDescent="0.3">
      <c r="B19" s="4">
        <f>[1]종목!B19</f>
        <v>2018</v>
      </c>
      <c r="C19" s="4">
        <f>[1]종목!$C19</f>
        <v>374000</v>
      </c>
      <c r="D19" s="4" t="str">
        <f>[1]종목!D19</f>
        <v>10월</v>
      </c>
      <c r="E19" s="12">
        <f t="shared" si="3"/>
        <v>0.90816326530612246</v>
      </c>
      <c r="G19" s="4">
        <f>[1]종목!G19</f>
        <v>2018</v>
      </c>
      <c r="H19" s="4">
        <f>[1]종목!$H19</f>
        <v>92500</v>
      </c>
      <c r="I19" s="4" t="str">
        <f>[1]종목!I19</f>
        <v>11월</v>
      </c>
      <c r="J19" s="12">
        <f t="shared" si="4"/>
        <v>-0.30451127819548873</v>
      </c>
      <c r="L19" s="4">
        <f>[1]종목!L19</f>
        <v>2018</v>
      </c>
      <c r="M19" s="4">
        <f>[1]종목!$M19</f>
        <v>58200</v>
      </c>
      <c r="N19" s="4" t="str">
        <f>[1]종목!N19</f>
        <v>11월</v>
      </c>
      <c r="O19" s="12">
        <f t="shared" si="5"/>
        <v>1.0416666666666666E-2</v>
      </c>
    </row>
    <row r="20" spans="2:15" x14ac:dyDescent="0.3">
      <c r="B20" s="4">
        <f>[1]종목!B20</f>
        <v>2019</v>
      </c>
      <c r="C20" s="4">
        <f>[1]종목!$C20</f>
        <v>125000</v>
      </c>
      <c r="D20" s="4" t="str">
        <f>[1]종목!D20</f>
        <v>10월</v>
      </c>
      <c r="E20" s="12">
        <f t="shared" si="3"/>
        <v>-0.66577540106951871</v>
      </c>
      <c r="G20" s="4">
        <f>[1]종목!G20</f>
        <v>2019</v>
      </c>
      <c r="H20" s="4">
        <f>[1]종목!$H20</f>
        <v>143500</v>
      </c>
      <c r="I20" s="4" t="str">
        <f>[1]종목!I20</f>
        <v>6월</v>
      </c>
      <c r="J20" s="12">
        <f t="shared" si="4"/>
        <v>0.55135135135135138</v>
      </c>
      <c r="L20" s="4">
        <f>[1]종목!L20</f>
        <v>2019</v>
      </c>
      <c r="M20" s="4">
        <f>[1]종목!$M20</f>
        <v>458000</v>
      </c>
      <c r="N20" s="4" t="str">
        <f>[1]종목!N20</f>
        <v>8월</v>
      </c>
      <c r="O20" s="12">
        <f t="shared" si="5"/>
        <v>6.869415807560137</v>
      </c>
    </row>
    <row r="21" spans="2:15" x14ac:dyDescent="0.3">
      <c r="B21" s="4">
        <f>[1]종목!B21</f>
        <v>2020</v>
      </c>
      <c r="C21" s="4">
        <f>[1]종목!$C21</f>
        <v>565000</v>
      </c>
      <c r="D21" s="4" t="str">
        <f>[1]종목!D21</f>
        <v>12월</v>
      </c>
      <c r="E21" s="12">
        <f t="shared" si="3"/>
        <v>3.52</v>
      </c>
      <c r="G21" s="4">
        <f>[1]종목!G21</f>
        <v>2020</v>
      </c>
      <c r="H21" s="4">
        <f>[1]종목!$H21</f>
        <v>199000</v>
      </c>
      <c r="I21" s="4" t="str">
        <f>[1]종목!I21</f>
        <v>12월</v>
      </c>
      <c r="J21" s="12">
        <f t="shared" si="4"/>
        <v>0.38675958188153309</v>
      </c>
      <c r="L21" s="4">
        <f>[1]종목!L21</f>
        <v>2020</v>
      </c>
      <c r="M21" s="4">
        <f>[1]종목!$M21</f>
        <v>50300</v>
      </c>
      <c r="N21" s="4" t="str">
        <f>[1]종목!N21</f>
        <v>8월</v>
      </c>
      <c r="O21" s="12">
        <f t="shared" si="5"/>
        <v>-0.890174672489083</v>
      </c>
    </row>
    <row r="22" spans="2:15" x14ac:dyDescent="0.3">
      <c r="B22" s="4">
        <f>[1]종목!B22</f>
        <v>2021</v>
      </c>
      <c r="C22" s="4">
        <f>[1]종목!$C22</f>
        <v>185000</v>
      </c>
      <c r="D22" s="4" t="str">
        <f>[1]종목!D22</f>
        <v>12월</v>
      </c>
      <c r="E22" s="12">
        <f t="shared" si="3"/>
        <v>-0.67256637168141598</v>
      </c>
      <c r="G22" s="4">
        <f>[1]종목!G22</f>
        <v>2021</v>
      </c>
      <c r="H22" s="4">
        <f>[1]종목!$H22</f>
        <v>289000</v>
      </c>
      <c r="I22" s="4" t="str">
        <f>[1]종목!I22</f>
        <v>1월</v>
      </c>
      <c r="J22" s="12">
        <f t="shared" si="4"/>
        <v>0.45226130653266333</v>
      </c>
      <c r="L22" s="4">
        <f>[1]종목!L22</f>
        <v>2021</v>
      </c>
      <c r="M22" s="4">
        <f>[1]종목!$M22</f>
        <v>47000</v>
      </c>
      <c r="N22" s="4" t="str">
        <f>[1]종목!N22</f>
        <v>1월</v>
      </c>
      <c r="O22" s="12">
        <f t="shared" si="5"/>
        <v>-6.560636182902585E-2</v>
      </c>
    </row>
    <row r="23" spans="2:15" x14ac:dyDescent="0.3">
      <c r="B23" s="4">
        <f>[1]종목!B23</f>
        <v>2022</v>
      </c>
      <c r="C23" s="4">
        <f>[1]종목!$C23</f>
        <v>131000</v>
      </c>
      <c r="D23" s="4" t="str">
        <f>[1]종목!D23</f>
        <v>3월</v>
      </c>
      <c r="E23" s="12">
        <f t="shared" si="3"/>
        <v>-0.29189189189189191</v>
      </c>
      <c r="G23" s="4">
        <f>[1]종목!G23</f>
        <v>2022</v>
      </c>
      <c r="H23" s="4">
        <f>[1]종목!$H23</f>
        <v>160000</v>
      </c>
      <c r="I23" s="4" t="str">
        <f>[1]종목!I23</f>
        <v>11월</v>
      </c>
      <c r="J23" s="12">
        <f t="shared" si="4"/>
        <v>-0.44636678200692043</v>
      </c>
      <c r="L23" s="4">
        <f>[1]종목!L23</f>
        <v>2022</v>
      </c>
      <c r="M23" s="4">
        <f>[1]종목!$M23</f>
        <v>61900</v>
      </c>
      <c r="N23" s="4" t="str">
        <f>[1]종목!N23</f>
        <v>4월</v>
      </c>
      <c r="O23" s="12">
        <f t="shared" si="5"/>
        <v>0.31702127659574469</v>
      </c>
    </row>
    <row r="24" spans="2:15" x14ac:dyDescent="0.3">
      <c r="B24" s="4">
        <f>[1]종목!B24</f>
        <v>2023</v>
      </c>
      <c r="C24" s="4">
        <f>[1]종목!$C24</f>
        <v>203000</v>
      </c>
      <c r="D24" s="4" t="str">
        <f>[1]종목!D24</f>
        <v>4월</v>
      </c>
      <c r="E24" s="12">
        <f t="shared" si="3"/>
        <v>0.54961832061068705</v>
      </c>
      <c r="G24" s="4">
        <f>[1]종목!G24</f>
        <v>2023</v>
      </c>
      <c r="H24" s="4">
        <f>[1]종목!$H24</f>
        <v>211500</v>
      </c>
      <c r="I24" s="4" t="str">
        <f>[1]종목!I24</f>
        <v>5월</v>
      </c>
      <c r="J24" s="12">
        <f t="shared" si="4"/>
        <v>0.32187500000000002</v>
      </c>
      <c r="L24" s="4">
        <f>[1]종목!L24</f>
        <v>2023</v>
      </c>
      <c r="M24" s="4">
        <f>[1]종목!$M24</f>
        <v>43300</v>
      </c>
      <c r="N24" s="4" t="str">
        <f>[1]종목!N24</f>
        <v>7월</v>
      </c>
      <c r="O24" s="12">
        <f t="shared" si="5"/>
        <v>-0.30048465266558966</v>
      </c>
    </row>
    <row r="25" spans="2:15" x14ac:dyDescent="0.3">
      <c r="B25" s="4">
        <f>[1]종목!B25</f>
        <v>2024</v>
      </c>
      <c r="C25" s="4">
        <f>[1]종목!$C25</f>
        <v>215000</v>
      </c>
      <c r="D25" s="4" t="str">
        <f>[1]종목!D25</f>
        <v>12월</v>
      </c>
      <c r="E25" s="12">
        <f t="shared" si="3"/>
        <v>5.9113300492610835E-2</v>
      </c>
      <c r="G25" s="4">
        <f>[1]종목!G25</f>
        <v>2024</v>
      </c>
      <c r="H25" s="4">
        <f>[1]종목!$H25</f>
        <v>299500</v>
      </c>
      <c r="I25" s="4" t="str">
        <f>[1]종목!I25</f>
        <v>7월</v>
      </c>
      <c r="J25" s="12">
        <f t="shared" si="4"/>
        <v>0.4160756501182033</v>
      </c>
      <c r="L25" s="4">
        <f>[1]종목!L25</f>
        <v>2024</v>
      </c>
      <c r="M25" s="4">
        <f>[1]종목!$M25</f>
        <v>61900</v>
      </c>
      <c r="N25" s="4" t="str">
        <f>[1]종목!N25</f>
        <v>12월</v>
      </c>
      <c r="O25" s="12">
        <f t="shared" si="5"/>
        <v>0.42956120092378752</v>
      </c>
    </row>
    <row r="26" spans="2:15" x14ac:dyDescent="0.3">
      <c r="B26" s="4">
        <f>[1]종목!B26</f>
        <v>2025</v>
      </c>
      <c r="C26" s="4">
        <f>[1]종목!$C26</f>
        <v>144000</v>
      </c>
      <c r="D26" s="4" t="str">
        <f>[1]종목!D26</f>
        <v>5월</v>
      </c>
      <c r="E26" s="12">
        <f>(C26-C25)/C25</f>
        <v>-0.33023255813953489</v>
      </c>
      <c r="G26" s="4">
        <f>[1]종목!G26</f>
        <v>2025</v>
      </c>
      <c r="H26" s="4">
        <f>[1]종목!$H26</f>
        <v>990000</v>
      </c>
      <c r="I26" s="4" t="str">
        <f>[1]종목!I26</f>
        <v>12월</v>
      </c>
      <c r="J26" s="12">
        <f>(H26-H25)/H25</f>
        <v>2.30550918196995</v>
      </c>
      <c r="L26" s="4">
        <f>[1]종목!L26</f>
        <v>2025</v>
      </c>
      <c r="M26" s="4">
        <f>[1]종목!$M26</f>
        <v>75100</v>
      </c>
      <c r="N26" s="4" t="str">
        <f>[1]종목!N26</f>
        <v>12월</v>
      </c>
      <c r="O26" s="12">
        <f>(M26-M25)/M25</f>
        <v>0.21324717285945072</v>
      </c>
    </row>
    <row r="28" spans="2:15" x14ac:dyDescent="0.3">
      <c r="B28" s="21" t="s">
        <v>30</v>
      </c>
      <c r="C28" s="21" t="s">
        <v>50</v>
      </c>
      <c r="D28" s="21" t="s">
        <v>31</v>
      </c>
      <c r="E28" s="21" t="s">
        <v>19</v>
      </c>
      <c r="G28" s="21" t="s">
        <v>32</v>
      </c>
      <c r="H28" s="21" t="s">
        <v>50</v>
      </c>
      <c r="I28" s="21" t="s">
        <v>33</v>
      </c>
      <c r="J28" s="21" t="s">
        <v>19</v>
      </c>
      <c r="L28" s="21" t="s">
        <v>34</v>
      </c>
      <c r="M28" s="21" t="s">
        <v>50</v>
      </c>
      <c r="N28" s="21" t="s">
        <v>35</v>
      </c>
      <c r="O28" s="21" t="s">
        <v>19</v>
      </c>
    </row>
    <row r="29" spans="2:15" x14ac:dyDescent="0.3">
      <c r="B29" s="4">
        <f>[1]종목!B29</f>
        <v>2015</v>
      </c>
      <c r="C29" s="4">
        <f>[1]종목!$C29</f>
        <v>80600</v>
      </c>
      <c r="D29" s="4" t="str">
        <f>[1]종목!D29</f>
        <v>8월</v>
      </c>
      <c r="E29" s="11"/>
      <c r="G29" s="4">
        <f>[1]종목!G29</f>
        <v>2015</v>
      </c>
      <c r="H29" s="4">
        <f>[1]종목!$H29</f>
        <v>1066000</v>
      </c>
      <c r="I29" s="4" t="str">
        <f>[1]종목!I29</f>
        <v>12월</v>
      </c>
      <c r="J29" s="11"/>
      <c r="L29" s="4">
        <f>[1]종목!L29</f>
        <v>2015</v>
      </c>
      <c r="M29" s="4">
        <f>[1]종목!$M29</f>
        <v>305000</v>
      </c>
      <c r="N29" s="4" t="str">
        <f>[1]종목!N29</f>
        <v>6월</v>
      </c>
      <c r="O29" s="11"/>
    </row>
    <row r="30" spans="2:15" x14ac:dyDescent="0.3">
      <c r="B30" s="4">
        <f>[1]종목!B30</f>
        <v>2016</v>
      </c>
      <c r="C30" s="4">
        <f>[1]종목!$C30</f>
        <v>166000</v>
      </c>
      <c r="D30" s="4" t="str">
        <f>[1]종목!D30</f>
        <v>11월</v>
      </c>
      <c r="E30" s="12">
        <f t="shared" ref="E30:E38" si="6">(C30-C29)/C29</f>
        <v>1.0595533498759304</v>
      </c>
      <c r="G30" s="4">
        <f>[1]종목!G30</f>
        <v>2016</v>
      </c>
      <c r="H30" s="4">
        <f>[1]종목!$H30</f>
        <v>740000</v>
      </c>
      <c r="I30" s="4" t="str">
        <f>[1]종목!I30</f>
        <v>11월</v>
      </c>
      <c r="J30" s="12">
        <f t="shared" ref="J30:J38" si="7">(H30-H29)/H29</f>
        <v>-0.30581613508442779</v>
      </c>
      <c r="L30" s="4">
        <f>[1]종목!L30</f>
        <v>2016</v>
      </c>
      <c r="M30" s="4">
        <f>[1]종목!$M30</f>
        <v>370000</v>
      </c>
      <c r="N30" s="4" t="str">
        <f>[1]종목!N30</f>
        <v>12월</v>
      </c>
      <c r="O30" s="12">
        <f t="shared" ref="O30:O38" si="8">(M30-M29)/M29</f>
        <v>0.21311475409836064</v>
      </c>
    </row>
    <row r="31" spans="2:15" x14ac:dyDescent="0.3">
      <c r="B31" s="4">
        <f>[1]종목!B31</f>
        <v>2017</v>
      </c>
      <c r="C31" s="4">
        <f>[1]종목!$C31</f>
        <v>187500</v>
      </c>
      <c r="D31" s="4" t="str">
        <f>[1]종목!D31</f>
        <v>6월</v>
      </c>
      <c r="E31" s="12">
        <f t="shared" si="6"/>
        <v>0.12951807228915663</v>
      </c>
      <c r="G31" s="4">
        <f>[1]종목!G31</f>
        <v>2017</v>
      </c>
      <c r="H31" s="4">
        <f>[1]종목!$H31</f>
        <v>774000</v>
      </c>
      <c r="I31" s="4" t="str">
        <f>[1]종목!I31</f>
        <v>3월</v>
      </c>
      <c r="J31" s="12">
        <f t="shared" si="7"/>
        <v>4.5945945945945948E-2</v>
      </c>
      <c r="L31" s="4">
        <f>[1]종목!L31</f>
        <v>2017</v>
      </c>
      <c r="M31" s="4">
        <f>[1]종목!$M31</f>
        <v>422000</v>
      </c>
      <c r="N31" s="4" t="str">
        <f>[1]종목!N31</f>
        <v>9월</v>
      </c>
      <c r="O31" s="12">
        <f t="shared" si="8"/>
        <v>0.14054054054054055</v>
      </c>
    </row>
    <row r="32" spans="2:15" x14ac:dyDescent="0.3">
      <c r="B32" s="4">
        <f>[1]종목!B32</f>
        <v>2018</v>
      </c>
      <c r="C32" s="4">
        <f>[1]종목!$C32</f>
        <v>93700</v>
      </c>
      <c r="D32" s="4" t="str">
        <f>[1]종목!D32</f>
        <v>10월</v>
      </c>
      <c r="E32" s="12">
        <f t="shared" si="6"/>
        <v>-0.50026666666666664</v>
      </c>
      <c r="G32" s="4">
        <f>[1]종목!G32</f>
        <v>2018</v>
      </c>
      <c r="H32" s="4">
        <f>[1]종목!$H32</f>
        <v>1010000</v>
      </c>
      <c r="I32" s="4" t="str">
        <f>[1]종목!I32</f>
        <v>10월</v>
      </c>
      <c r="J32" s="12">
        <f t="shared" si="7"/>
        <v>0.30490956072351422</v>
      </c>
      <c r="L32" s="4">
        <f>[1]종목!L32</f>
        <v>2018</v>
      </c>
      <c r="M32" s="4">
        <f>[1]종목!$M32</f>
        <v>247000</v>
      </c>
      <c r="N32" s="4" t="str">
        <f>[1]종목!N32</f>
        <v>10월</v>
      </c>
      <c r="O32" s="12">
        <f t="shared" si="8"/>
        <v>-0.41469194312796209</v>
      </c>
    </row>
    <row r="33" spans="2:15" x14ac:dyDescent="0.3">
      <c r="B33" s="4">
        <f>[1]종목!B33</f>
        <v>2019</v>
      </c>
      <c r="C33" s="4">
        <f>[1]종목!$C33</f>
        <v>93800</v>
      </c>
      <c r="D33" s="4" t="str">
        <f>[1]종목!D33</f>
        <v>8월</v>
      </c>
      <c r="E33" s="12">
        <f t="shared" si="6"/>
        <v>1.0672358591248667E-3</v>
      </c>
      <c r="G33" s="4">
        <f>[1]종목!G33</f>
        <v>2019</v>
      </c>
      <c r="H33" s="4">
        <f>[1]종목!$H33</f>
        <v>1466000</v>
      </c>
      <c r="I33" s="4" t="str">
        <f>[1]종목!I33</f>
        <v>4월</v>
      </c>
      <c r="J33" s="12">
        <f t="shared" si="7"/>
        <v>0.4514851485148515</v>
      </c>
      <c r="L33" s="4">
        <f>[1]종목!L33</f>
        <v>2019</v>
      </c>
      <c r="M33" s="4">
        <f>[1]종목!$M33</f>
        <v>207500</v>
      </c>
      <c r="N33" s="4" t="str">
        <f>[1]종목!N33</f>
        <v>8월</v>
      </c>
      <c r="O33" s="12">
        <f t="shared" si="8"/>
        <v>-0.15991902834008098</v>
      </c>
    </row>
    <row r="34" spans="2:15" x14ac:dyDescent="0.3">
      <c r="B34" s="4">
        <f>[1]종목!B34</f>
        <v>2020</v>
      </c>
      <c r="C34" s="4">
        <f>[1]종목!$C34</f>
        <v>64200</v>
      </c>
      <c r="D34" s="4" t="str">
        <f>[1]종목!D34</f>
        <v>3월</v>
      </c>
      <c r="E34" s="12">
        <f t="shared" si="6"/>
        <v>-0.31556503198294245</v>
      </c>
      <c r="G34" s="4">
        <f>[1]종목!G34</f>
        <v>2020</v>
      </c>
      <c r="H34" s="4">
        <f>[1]종목!$H34</f>
        <v>3649000</v>
      </c>
      <c r="I34" s="4" t="str">
        <f>[1]종목!I34</f>
        <v>12월</v>
      </c>
      <c r="J34" s="12">
        <f t="shared" si="7"/>
        <v>1.4890859481582537</v>
      </c>
      <c r="L34" s="4">
        <f>[1]종목!L34</f>
        <v>2020</v>
      </c>
      <c r="M34" s="4">
        <f>[1]종목!$M34</f>
        <v>114500</v>
      </c>
      <c r="N34" s="4" t="str">
        <f>[1]종목!N34</f>
        <v>3월</v>
      </c>
      <c r="O34" s="12">
        <f t="shared" si="8"/>
        <v>-0.44819277108433736</v>
      </c>
    </row>
    <row r="35" spans="2:15" x14ac:dyDescent="0.3">
      <c r="B35" s="4">
        <f>[1]종목!B35</f>
        <v>2021</v>
      </c>
      <c r="C35" s="4">
        <f>[1]종목!$C35</f>
        <v>163500</v>
      </c>
      <c r="D35" s="4" t="str">
        <f>[1]종목!D35</f>
        <v>5월</v>
      </c>
      <c r="E35" s="12">
        <f t="shared" si="6"/>
        <v>1.5467289719626167</v>
      </c>
      <c r="G35" s="4">
        <f>[1]종목!G35</f>
        <v>2021</v>
      </c>
      <c r="H35" s="4">
        <f>[1]종목!$H35</f>
        <v>971000</v>
      </c>
      <c r="I35" s="4" t="str">
        <f>[1]종목!I35</f>
        <v>12월</v>
      </c>
      <c r="J35" s="12">
        <f t="shared" si="7"/>
        <v>-0.73389969854754722</v>
      </c>
      <c r="L35" s="4">
        <f>[1]종목!L35</f>
        <v>2021</v>
      </c>
      <c r="M35" s="4">
        <f>[1]종목!$M35</f>
        <v>538000</v>
      </c>
      <c r="N35" s="4" t="str">
        <f>[1]종목!N35</f>
        <v>3월</v>
      </c>
      <c r="O35" s="12">
        <f t="shared" si="8"/>
        <v>3.6986899563318776</v>
      </c>
    </row>
    <row r="36" spans="2:15" x14ac:dyDescent="0.3">
      <c r="B36" s="4">
        <f>[1]종목!B36</f>
        <v>2022</v>
      </c>
      <c r="C36" s="4">
        <f>[1]종목!$C36</f>
        <v>68600</v>
      </c>
      <c r="D36" s="4" t="str">
        <f>[1]종목!D36</f>
        <v>10월</v>
      </c>
      <c r="E36" s="12">
        <f t="shared" si="6"/>
        <v>-0.58042813455657494</v>
      </c>
      <c r="G36" s="4">
        <f>[1]종목!G36</f>
        <v>2022</v>
      </c>
      <c r="H36" s="4">
        <f>[1]종목!$H36</f>
        <v>499500</v>
      </c>
      <c r="I36" s="4" t="str">
        <f>[1]종목!I36</f>
        <v>11월</v>
      </c>
      <c r="J36" s="12">
        <f t="shared" si="7"/>
        <v>-0.48558187435633365</v>
      </c>
      <c r="L36" s="4">
        <f>[1]종목!L36</f>
        <v>2022</v>
      </c>
      <c r="M36" s="4">
        <f>[1]종목!$M36</f>
        <v>134303</v>
      </c>
      <c r="N36" s="4" t="str">
        <f>[1]종목!N36</f>
        <v>10월</v>
      </c>
      <c r="O36" s="12">
        <f t="shared" si="8"/>
        <v>-0.7503661710037175</v>
      </c>
    </row>
    <row r="37" spans="2:15" x14ac:dyDescent="0.3">
      <c r="B37" s="4">
        <f>[1]종목!B37</f>
        <v>2023</v>
      </c>
      <c r="C37" s="4">
        <f>[1]종목!$C37</f>
        <v>130000</v>
      </c>
      <c r="D37" s="4" t="str">
        <f>[1]종목!D37</f>
        <v>7월</v>
      </c>
      <c r="E37" s="12">
        <f t="shared" si="6"/>
        <v>0.89504373177842567</v>
      </c>
      <c r="G37" s="4">
        <f>[1]종목!G37</f>
        <v>2023</v>
      </c>
      <c r="H37" s="4">
        <f>[1]종목!$H37</f>
        <v>590000</v>
      </c>
      <c r="I37" s="4" t="str">
        <f>[1]종목!I37</f>
        <v>5월</v>
      </c>
      <c r="J37" s="12">
        <f t="shared" si="7"/>
        <v>0.18118118118118118</v>
      </c>
      <c r="L37" s="4">
        <f>[1]종목!L37</f>
        <v>2023</v>
      </c>
      <c r="M37" s="4">
        <f>[1]종목!$M37</f>
        <v>189700</v>
      </c>
      <c r="N37" s="4" t="str">
        <f>[1]종목!N37</f>
        <v>6월</v>
      </c>
      <c r="O37" s="12">
        <f t="shared" si="8"/>
        <v>0.41247775552295929</v>
      </c>
    </row>
    <row r="38" spans="2:15" x14ac:dyDescent="0.3">
      <c r="B38" s="4">
        <f>[1]종목!B38</f>
        <v>2024</v>
      </c>
      <c r="C38" s="4">
        <f>[1]종목!$C38</f>
        <v>219000</v>
      </c>
      <c r="D38" s="4" t="str">
        <f>[1]종목!D38</f>
        <v>12월</v>
      </c>
      <c r="E38" s="12">
        <f t="shared" si="6"/>
        <v>0.68461538461538463</v>
      </c>
      <c r="G38" s="4">
        <f>[1]종목!G38</f>
        <v>2024</v>
      </c>
      <c r="H38" s="4">
        <f>[1]종목!$H38</f>
        <v>300000</v>
      </c>
      <c r="I38" s="4" t="str">
        <f>[1]종목!I38</f>
        <v>2월</v>
      </c>
      <c r="J38" s="12">
        <f t="shared" si="7"/>
        <v>-0.49152542372881358</v>
      </c>
      <c r="L38" s="4">
        <f>[1]종목!L38</f>
        <v>2024</v>
      </c>
      <c r="M38" s="4">
        <f>[1]종목!$M38</f>
        <v>62200</v>
      </c>
      <c r="N38" s="4" t="str">
        <f>[1]종목!N38</f>
        <v>12월</v>
      </c>
      <c r="O38" s="12">
        <f t="shared" si="8"/>
        <v>-0.67211386399578277</v>
      </c>
    </row>
    <row r="39" spans="2:15" x14ac:dyDescent="0.3">
      <c r="B39" s="4">
        <f>[1]종목!B39</f>
        <v>2025</v>
      </c>
      <c r="C39" s="4">
        <f>[1]종목!$C39</f>
        <v>994500</v>
      </c>
      <c r="D39" s="4" t="str">
        <f>[1]종목!D39</f>
        <v>11월</v>
      </c>
      <c r="E39" s="12">
        <f>(C39-C38)/C38</f>
        <v>3.5410958904109591</v>
      </c>
      <c r="G39" s="4">
        <f>[1]종목!G39</f>
        <v>2025</v>
      </c>
      <c r="H39" s="4">
        <v>300000</v>
      </c>
      <c r="I39" s="4" t="str">
        <f>[1]종목!I39</f>
        <v>12월</v>
      </c>
      <c r="J39" s="12">
        <f>(H39-H38)/H38</f>
        <v>0</v>
      </c>
      <c r="L39" s="4">
        <f>[1]종목!L39</f>
        <v>2025</v>
      </c>
      <c r="M39" s="4">
        <f>[1]종목!$M39</f>
        <v>51800</v>
      </c>
      <c r="N39" s="4" t="str">
        <f>[1]종목!N39</f>
        <v>2월</v>
      </c>
      <c r="O39" s="12">
        <f>(M39-M38)/M38</f>
        <v>-0.16720257234726688</v>
      </c>
    </row>
    <row r="41" spans="2:15" x14ac:dyDescent="0.3">
      <c r="B41" s="21" t="s">
        <v>36</v>
      </c>
      <c r="C41" s="21" t="s">
        <v>50</v>
      </c>
      <c r="D41" s="21" t="s">
        <v>37</v>
      </c>
      <c r="E41" s="21" t="s">
        <v>19</v>
      </c>
    </row>
    <row r="42" spans="2:15" x14ac:dyDescent="0.3">
      <c r="B42" s="4">
        <f>[1]종목!B42</f>
        <v>2015</v>
      </c>
      <c r="C42" s="4">
        <f>[1]종목!$C42</f>
        <v>120500</v>
      </c>
      <c r="D42" s="4" t="str">
        <f>[1]종목!D42</f>
        <v>10월</v>
      </c>
      <c r="E42" s="11"/>
    </row>
    <row r="43" spans="2:15" x14ac:dyDescent="0.3">
      <c r="B43" s="4">
        <f>[1]종목!B43</f>
        <v>2016</v>
      </c>
      <c r="C43" s="4">
        <f>[1]종목!$C43</f>
        <v>139500</v>
      </c>
      <c r="D43" s="4" t="str">
        <f>[1]종목!D43</f>
        <v>7월</v>
      </c>
      <c r="E43" s="12">
        <f t="shared" ref="E43:E51" si="9">(C43-C42)/C42</f>
        <v>0.15767634854771784</v>
      </c>
    </row>
    <row r="44" spans="2:15" x14ac:dyDescent="0.3">
      <c r="B44" s="4">
        <f>[1]종목!B44</f>
        <v>2017</v>
      </c>
      <c r="C44" s="4">
        <f>[1]종목!$C44</f>
        <v>94900</v>
      </c>
      <c r="D44" s="4" t="str">
        <f>[1]종목!D44</f>
        <v>3월</v>
      </c>
      <c r="E44" s="12">
        <f t="shared" si="9"/>
        <v>-0.31971326164874553</v>
      </c>
    </row>
    <row r="45" spans="2:15" x14ac:dyDescent="0.3">
      <c r="B45" s="4">
        <f>[1]종목!B45</f>
        <v>2018</v>
      </c>
      <c r="C45" s="4">
        <f>[1]종목!$C45</f>
        <v>95500</v>
      </c>
      <c r="D45" s="4" t="str">
        <f>[1]종목!D45</f>
        <v>6월</v>
      </c>
      <c r="E45" s="12">
        <f t="shared" si="9"/>
        <v>6.3224446786090622E-3</v>
      </c>
    </row>
    <row r="46" spans="2:15" x14ac:dyDescent="0.3">
      <c r="B46" s="4">
        <f>[1]종목!B46</f>
        <v>2019</v>
      </c>
      <c r="C46" s="4">
        <f>[1]종목!$C46</f>
        <v>93700</v>
      </c>
      <c r="D46" s="4" t="str">
        <f>[1]종목!D46</f>
        <v>12월</v>
      </c>
      <c r="E46" s="12">
        <f t="shared" si="9"/>
        <v>-1.8848167539267015E-2</v>
      </c>
    </row>
    <row r="47" spans="2:15" x14ac:dyDescent="0.3">
      <c r="B47" s="4">
        <f>[1]종목!B47</f>
        <v>2020</v>
      </c>
      <c r="C47" s="4">
        <f>[1]종목!$C47</f>
        <v>98100</v>
      </c>
      <c r="D47" s="4" t="str">
        <f>[1]종목!D47</f>
        <v>1월</v>
      </c>
      <c r="E47" s="12">
        <f t="shared" si="9"/>
        <v>4.6958377801494131E-2</v>
      </c>
    </row>
    <row r="48" spans="2:15" x14ac:dyDescent="0.3">
      <c r="B48" s="4">
        <f>[1]종목!B48</f>
        <v>2021</v>
      </c>
      <c r="C48" s="4">
        <f>[1]종목!$C48</f>
        <v>78000</v>
      </c>
      <c r="D48" s="4" t="str">
        <f>[1]종목!D48</f>
        <v>3월</v>
      </c>
      <c r="E48" s="12">
        <f t="shared" si="9"/>
        <v>-0.20489296636085627</v>
      </c>
    </row>
    <row r="49" spans="2:5" x14ac:dyDescent="0.3">
      <c r="B49" s="4">
        <f>[1]종목!B49</f>
        <v>2022</v>
      </c>
      <c r="C49" s="4">
        <f>[1]종목!$C49</f>
        <v>300000</v>
      </c>
      <c r="D49" s="4" t="str">
        <f>[1]종목!D49</f>
        <v>11월</v>
      </c>
      <c r="E49" s="12">
        <f t="shared" si="9"/>
        <v>2.8461538461538463</v>
      </c>
    </row>
    <row r="50" spans="2:5" x14ac:dyDescent="0.3">
      <c r="B50" s="4">
        <f>[1]종목!B50</f>
        <v>2023</v>
      </c>
      <c r="C50" s="4">
        <f>[1]종목!$C50</f>
        <v>81500</v>
      </c>
      <c r="D50" s="4" t="str">
        <f>[1]종목!D50</f>
        <v>6월</v>
      </c>
      <c r="E50" s="12">
        <f t="shared" si="9"/>
        <v>-0.72833333333333339</v>
      </c>
    </row>
    <row r="51" spans="2:5" x14ac:dyDescent="0.3">
      <c r="B51" s="4">
        <f>[1]종목!B51</f>
        <v>2024</v>
      </c>
      <c r="C51" s="4">
        <f>[1]종목!$C51</f>
        <v>126400</v>
      </c>
      <c r="D51" s="4" t="str">
        <f>[1]종목!D51</f>
        <v>11월</v>
      </c>
      <c r="E51" s="12">
        <f t="shared" si="9"/>
        <v>0.55092024539877305</v>
      </c>
    </row>
    <row r="52" spans="2:5" x14ac:dyDescent="0.3">
      <c r="B52" s="4">
        <f>[1]종목!B52</f>
        <v>2025</v>
      </c>
      <c r="C52" s="4">
        <f>[1]종목!$C52</f>
        <v>557800</v>
      </c>
      <c r="D52" s="4" t="str">
        <f>[1]종목!D52</f>
        <v>12월</v>
      </c>
      <c r="E52" s="12">
        <f>(C52-C51)/C51</f>
        <v>3.412974683544304</v>
      </c>
    </row>
  </sheetData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종목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김동원</dc:creator>
  <cp:lastModifiedBy>동원 김</cp:lastModifiedBy>
  <dcterms:created xsi:type="dcterms:W3CDTF">2021-12-01T20:37:09Z</dcterms:created>
  <dcterms:modified xsi:type="dcterms:W3CDTF">2026-05-22T03:34:27Z</dcterms:modified>
</cp:coreProperties>
</file>